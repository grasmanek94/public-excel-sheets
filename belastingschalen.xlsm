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fal\Desktop\"/>
    </mc:Choice>
  </mc:AlternateContent>
  <xr:revisionPtr revIDLastSave="0" documentId="13_ncr:1_{2EF9B217-A4DD-4461-8DCE-C8FEAECA85A0}" xr6:coauthVersionLast="36" xr6:coauthVersionMax="36" xr10:uidLastSave="{00000000-0000-0000-0000-000000000000}"/>
  <bookViews>
    <workbookView xWindow="0" yWindow="0" windowWidth="28800" windowHeight="11775" activeTab="1" xr2:uid="{B992A370-A0C3-4A8D-B64E-E48BEB0B150A}"/>
  </bookViews>
  <sheets>
    <sheet name="LoondienstVsZZP" sheetId="1" r:id="rId1"/>
    <sheet name="Belastingschijven Compleet" sheetId="2" r:id="rId2"/>
    <sheet name="Belastingschijven Kort" sheetId="3" r:id="rId3"/>
    <sheet name="Belastingschijven Simpel" sheetId="4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6" i="2" l="1"/>
  <c r="I75" i="2"/>
  <c r="G35" i="2"/>
  <c r="G34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34" i="2"/>
  <c r="A32" i="2"/>
  <c r="G32" i="2" s="1"/>
  <c r="G20" i="2"/>
  <c r="G21" i="2"/>
  <c r="G22" i="2"/>
  <c r="G23" i="2"/>
  <c r="G24" i="2"/>
  <c r="G25" i="2"/>
  <c r="G26" i="2"/>
  <c r="G27" i="2"/>
  <c r="G28" i="2"/>
  <c r="G29" i="2"/>
  <c r="G30" i="2"/>
  <c r="G31" i="2"/>
  <c r="G33" i="2"/>
  <c r="A21" i="2"/>
  <c r="A22" i="2"/>
  <c r="A23" i="2"/>
  <c r="A24" i="2"/>
  <c r="A25" i="2"/>
  <c r="A26" i="2"/>
  <c r="A27" i="2"/>
  <c r="A28" i="2"/>
  <c r="A29" i="2"/>
  <c r="A30" i="2"/>
  <c r="A31" i="2"/>
  <c r="A20" i="2"/>
  <c r="A18" i="2"/>
  <c r="I7" i="3"/>
  <c r="H7" i="3"/>
  <c r="G7" i="3"/>
  <c r="C76" i="2"/>
  <c r="D76" i="2"/>
  <c r="B76" i="2"/>
  <c r="B75" i="2"/>
  <c r="C75" i="2"/>
  <c r="D75" i="2"/>
  <c r="B5" i="3"/>
  <c r="C5" i="3"/>
  <c r="D5" i="3"/>
  <c r="E76" i="2" l="1"/>
  <c r="F76" i="2" s="1"/>
  <c r="E75" i="2"/>
  <c r="F75" i="2" s="1"/>
  <c r="E5" i="3"/>
  <c r="G5" i="3"/>
  <c r="A10" i="2"/>
  <c r="A11" i="2"/>
  <c r="A12" i="2"/>
  <c r="A13" i="2"/>
  <c r="A14" i="2"/>
  <c r="A15" i="2"/>
  <c r="A16" i="2"/>
  <c r="A17" i="2"/>
  <c r="A9" i="2"/>
  <c r="A3" i="2"/>
  <c r="A4" i="2"/>
  <c r="A5" i="2"/>
  <c r="A6" i="2"/>
  <c r="A7" i="2"/>
  <c r="G3" i="2"/>
  <c r="G19" i="2"/>
  <c r="G4" i="2"/>
  <c r="G5" i="2"/>
  <c r="G6" i="2"/>
  <c r="G7" i="2"/>
  <c r="G8" i="2"/>
  <c r="G73" i="2"/>
  <c r="G74" i="2"/>
  <c r="G9" i="3"/>
  <c r="G8" i="3"/>
  <c r="G6" i="3"/>
  <c r="G4" i="3"/>
  <c r="G3" i="3"/>
  <c r="I2" i="3"/>
  <c r="I2" i="2"/>
  <c r="D6" i="3"/>
  <c r="D2" i="3"/>
  <c r="D4" i="3"/>
  <c r="C4" i="3"/>
  <c r="C6" i="3"/>
  <c r="C2" i="3"/>
  <c r="B6" i="3"/>
  <c r="B2" i="3"/>
  <c r="C3" i="3"/>
  <c r="B3" i="3"/>
  <c r="D9" i="3"/>
  <c r="D8" i="3"/>
  <c r="D7" i="3"/>
  <c r="B4" i="3"/>
  <c r="D3" i="3"/>
  <c r="C9" i="3"/>
  <c r="C8" i="3"/>
  <c r="C7" i="3"/>
  <c r="B9" i="3"/>
  <c r="B8" i="3"/>
  <c r="B7" i="3"/>
  <c r="B34" i="2"/>
  <c r="C34" i="2"/>
  <c r="D34" i="2"/>
  <c r="B35" i="2"/>
  <c r="C35" i="2"/>
  <c r="D35" i="2"/>
  <c r="B36" i="2"/>
  <c r="C36" i="2"/>
  <c r="D36" i="2"/>
  <c r="B37" i="2"/>
  <c r="C37" i="2"/>
  <c r="D37" i="2"/>
  <c r="B38" i="2"/>
  <c r="C38" i="2"/>
  <c r="D38" i="2"/>
  <c r="B39" i="2"/>
  <c r="C39" i="2"/>
  <c r="D39" i="2"/>
  <c r="B40" i="2"/>
  <c r="D40" i="2"/>
  <c r="C40" i="2"/>
  <c r="B41" i="2"/>
  <c r="C41" i="2"/>
  <c r="D41" i="2"/>
  <c r="B42" i="2"/>
  <c r="C42" i="2"/>
  <c r="D42" i="2"/>
  <c r="B43" i="2"/>
  <c r="C43" i="2"/>
  <c r="D43" i="2"/>
  <c r="B44" i="2"/>
  <c r="C44" i="2"/>
  <c r="D44" i="2"/>
  <c r="B45" i="2"/>
  <c r="C45" i="2"/>
  <c r="D45" i="2"/>
  <c r="B46" i="2"/>
  <c r="C46" i="2"/>
  <c r="D46" i="2"/>
  <c r="B47" i="2"/>
  <c r="C47" i="2"/>
  <c r="D47" i="2"/>
  <c r="B48" i="2"/>
  <c r="D48" i="2"/>
  <c r="C48" i="2"/>
  <c r="B49" i="2"/>
  <c r="C49" i="2"/>
  <c r="D49" i="2"/>
  <c r="B50" i="2"/>
  <c r="C50" i="2"/>
  <c r="D50" i="2"/>
  <c r="B51" i="2"/>
  <c r="C51" i="2"/>
  <c r="D51" i="2"/>
  <c r="B52" i="2"/>
  <c r="D52" i="2"/>
  <c r="C52" i="2"/>
  <c r="B53" i="2"/>
  <c r="C53" i="2"/>
  <c r="D53" i="2"/>
  <c r="B54" i="2"/>
  <c r="C54" i="2"/>
  <c r="D54" i="2"/>
  <c r="B55" i="2"/>
  <c r="C55" i="2"/>
  <c r="D55" i="2"/>
  <c r="B56" i="2"/>
  <c r="C56" i="2"/>
  <c r="D56" i="2"/>
  <c r="B57" i="2"/>
  <c r="C57" i="2"/>
  <c r="D57" i="2"/>
  <c r="B58" i="2"/>
  <c r="C58" i="2"/>
  <c r="D58" i="2"/>
  <c r="B59" i="2"/>
  <c r="C59" i="2"/>
  <c r="D59" i="2"/>
  <c r="B60" i="2"/>
  <c r="C60" i="2"/>
  <c r="D60" i="2"/>
  <c r="B61" i="2"/>
  <c r="C61" i="2"/>
  <c r="D61" i="2"/>
  <c r="B62" i="2"/>
  <c r="C62" i="2"/>
  <c r="D62" i="2"/>
  <c r="B63" i="2"/>
  <c r="C63" i="2"/>
  <c r="D63" i="2"/>
  <c r="B64" i="2"/>
  <c r="C64" i="2"/>
  <c r="D64" i="2"/>
  <c r="B65" i="2"/>
  <c r="C65" i="2"/>
  <c r="D65" i="2"/>
  <c r="B66" i="2"/>
  <c r="C66" i="2"/>
  <c r="D66" i="2"/>
  <c r="B67" i="2"/>
  <c r="C67" i="2"/>
  <c r="D67" i="2"/>
  <c r="B68" i="2"/>
  <c r="C68" i="2"/>
  <c r="D68" i="2"/>
  <c r="B69" i="2"/>
  <c r="C69" i="2"/>
  <c r="D69" i="2"/>
  <c r="B70" i="2"/>
  <c r="D70" i="2"/>
  <c r="C70" i="2"/>
  <c r="C71" i="2"/>
  <c r="D71" i="2"/>
  <c r="B71" i="2"/>
  <c r="B20" i="2"/>
  <c r="C20" i="2"/>
  <c r="D20" i="2"/>
  <c r="B21" i="2"/>
  <c r="D21" i="2"/>
  <c r="C21" i="2"/>
  <c r="B22" i="2"/>
  <c r="C22" i="2"/>
  <c r="D22" i="2"/>
  <c r="B23" i="2"/>
  <c r="C23" i="2"/>
  <c r="D23" i="2"/>
  <c r="B24" i="2"/>
  <c r="C24" i="2"/>
  <c r="D24" i="2"/>
  <c r="B25" i="2"/>
  <c r="C25" i="2"/>
  <c r="D25" i="2"/>
  <c r="B26" i="2"/>
  <c r="C26" i="2"/>
  <c r="D26" i="2"/>
  <c r="B27" i="2"/>
  <c r="C27" i="2"/>
  <c r="D27" i="2"/>
  <c r="B28" i="2"/>
  <c r="C28" i="2"/>
  <c r="D28" i="2"/>
  <c r="B29" i="2"/>
  <c r="C29" i="2"/>
  <c r="D29" i="2"/>
  <c r="B30" i="2"/>
  <c r="C30" i="2"/>
  <c r="D30" i="2"/>
  <c r="B31" i="2"/>
  <c r="C31" i="2"/>
  <c r="D31" i="2"/>
  <c r="B32" i="2"/>
  <c r="D32" i="2"/>
  <c r="C32" i="2"/>
  <c r="B3" i="2"/>
  <c r="C3" i="2"/>
  <c r="D3" i="2"/>
  <c r="B4" i="2"/>
  <c r="D4" i="2"/>
  <c r="C4" i="2"/>
  <c r="B5" i="2"/>
  <c r="D5" i="2"/>
  <c r="C5" i="2"/>
  <c r="B6" i="2"/>
  <c r="D6" i="2"/>
  <c r="C6" i="2"/>
  <c r="B7" i="2"/>
  <c r="C7" i="2"/>
  <c r="D7" i="2"/>
  <c r="B74" i="2"/>
  <c r="D74" i="2"/>
  <c r="C74" i="2"/>
  <c r="E34" i="2" l="1"/>
  <c r="F34" i="2" s="1"/>
  <c r="H5" i="3"/>
  <c r="I5" i="3" s="1"/>
  <c r="F5" i="3"/>
  <c r="E7" i="3"/>
  <c r="E8" i="3"/>
  <c r="E9" i="3"/>
  <c r="F9" i="3" s="1"/>
  <c r="E4" i="3"/>
  <c r="E3" i="3"/>
  <c r="E2" i="3"/>
  <c r="E6" i="3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" i="2"/>
  <c r="E4" i="2"/>
  <c r="E5" i="2"/>
  <c r="E6" i="2"/>
  <c r="E7" i="2"/>
  <c r="E74" i="2"/>
  <c r="E28" i="1"/>
  <c r="F28" i="1"/>
  <c r="B7" i="1"/>
  <c r="C28" i="1"/>
  <c r="C29" i="1"/>
  <c r="D29" i="1"/>
  <c r="E29" i="1"/>
  <c r="F29" i="1"/>
  <c r="G29" i="1"/>
  <c r="B29" i="1"/>
  <c r="B8" i="1"/>
  <c r="B73" i="2"/>
  <c r="D73" i="2"/>
  <c r="C73" i="2"/>
  <c r="D72" i="2"/>
  <c r="C72" i="2"/>
  <c r="B72" i="2"/>
  <c r="C33" i="2"/>
  <c r="D33" i="2"/>
  <c r="B33" i="2"/>
  <c r="C19" i="2"/>
  <c r="D19" i="2"/>
  <c r="B19" i="2"/>
  <c r="D8" i="2"/>
  <c r="B8" i="2"/>
  <c r="C8" i="2"/>
  <c r="B2" i="2"/>
  <c r="C2" i="2"/>
  <c r="D2" i="2"/>
  <c r="F66" i="2" l="1"/>
  <c r="F65" i="2"/>
  <c r="F71" i="2"/>
  <c r="F63" i="2"/>
  <c r="F55" i="2"/>
  <c r="F47" i="2"/>
  <c r="F39" i="2"/>
  <c r="F70" i="2"/>
  <c r="F54" i="2"/>
  <c r="F37" i="2"/>
  <c r="F46" i="2"/>
  <c r="F61" i="2"/>
  <c r="F45" i="2"/>
  <c r="F68" i="2"/>
  <c r="F60" i="2"/>
  <c r="F52" i="2"/>
  <c r="F44" i="2"/>
  <c r="F36" i="2"/>
  <c r="F62" i="2"/>
  <c r="F38" i="2"/>
  <c r="F69" i="2"/>
  <c r="F53" i="2"/>
  <c r="F67" i="2"/>
  <c r="F59" i="2"/>
  <c r="F51" i="2"/>
  <c r="F43" i="2"/>
  <c r="F35" i="2"/>
  <c r="F58" i="2"/>
  <c r="F50" i="2"/>
  <c r="F41" i="2"/>
  <c r="F42" i="2"/>
  <c r="F57" i="2"/>
  <c r="F49" i="2"/>
  <c r="F64" i="2"/>
  <c r="F56" i="2"/>
  <c r="F48" i="2"/>
  <c r="F40" i="2"/>
  <c r="F28" i="2"/>
  <c r="F20" i="2"/>
  <c r="F27" i="2"/>
  <c r="F26" i="2"/>
  <c r="F25" i="2"/>
  <c r="F32" i="2"/>
  <c r="F24" i="2"/>
  <c r="F31" i="2"/>
  <c r="F23" i="2"/>
  <c r="F30" i="2"/>
  <c r="F22" i="2"/>
  <c r="F29" i="2"/>
  <c r="F21" i="2"/>
  <c r="F3" i="2"/>
  <c r="F5" i="2"/>
  <c r="F4" i="2"/>
  <c r="F7" i="2"/>
  <c r="F6" i="2"/>
  <c r="F4" i="3"/>
  <c r="F6" i="3"/>
  <c r="F3" i="3"/>
  <c r="H4" i="3"/>
  <c r="I4" i="3" s="1"/>
  <c r="H6" i="3"/>
  <c r="I6" i="3" s="1"/>
  <c r="H9" i="3"/>
  <c r="I9" i="3" s="1"/>
  <c r="F8" i="3"/>
  <c r="H3" i="3"/>
  <c r="I3" i="3" s="1"/>
  <c r="F2" i="3"/>
  <c r="H8" i="3"/>
  <c r="I8" i="3" s="1"/>
  <c r="F7" i="3"/>
  <c r="F74" i="2"/>
  <c r="E73" i="2"/>
  <c r="H74" i="2" s="1"/>
  <c r="I74" i="2" s="1"/>
  <c r="E72" i="2"/>
  <c r="E33" i="2"/>
  <c r="H65" i="2" s="1"/>
  <c r="I65" i="2" s="1"/>
  <c r="E19" i="2"/>
  <c r="H28" i="2" s="1"/>
  <c r="I28" i="2" s="1"/>
  <c r="E8" i="2"/>
  <c r="E2" i="2"/>
  <c r="F2" i="2" s="1"/>
  <c r="M32" i="1"/>
  <c r="M6" i="1"/>
  <c r="M8" i="1" s="1"/>
  <c r="M21" i="1"/>
  <c r="M22" i="1"/>
  <c r="L6" i="1"/>
  <c r="L8" i="1" s="1"/>
  <c r="L9" i="1" s="1"/>
  <c r="L21" i="1"/>
  <c r="L22" i="1"/>
  <c r="L32" i="1"/>
  <c r="H72" i="2" l="1"/>
  <c r="H40" i="2"/>
  <c r="I40" i="2" s="1"/>
  <c r="H69" i="2"/>
  <c r="I69" i="2" s="1"/>
  <c r="H55" i="2"/>
  <c r="I55" i="2" s="1"/>
  <c r="H42" i="2"/>
  <c r="I42" i="2" s="1"/>
  <c r="H60" i="2"/>
  <c r="I60" i="2" s="1"/>
  <c r="H51" i="2"/>
  <c r="I51" i="2" s="1"/>
  <c r="H54" i="2"/>
  <c r="I54" i="2" s="1"/>
  <c r="H56" i="2"/>
  <c r="I56" i="2" s="1"/>
  <c r="H62" i="2"/>
  <c r="I62" i="2" s="1"/>
  <c r="H71" i="2"/>
  <c r="I71" i="2" s="1"/>
  <c r="H50" i="2"/>
  <c r="I50" i="2" s="1"/>
  <c r="H45" i="2"/>
  <c r="I45" i="2" s="1"/>
  <c r="H67" i="2"/>
  <c r="I67" i="2" s="1"/>
  <c r="H39" i="2"/>
  <c r="I39" i="2" s="1"/>
  <c r="H49" i="2"/>
  <c r="I49" i="2" s="1"/>
  <c r="H44" i="2"/>
  <c r="I44" i="2" s="1"/>
  <c r="H66" i="2"/>
  <c r="I66" i="2" s="1"/>
  <c r="H34" i="2"/>
  <c r="I34" i="2" s="1"/>
  <c r="H35" i="2"/>
  <c r="I35" i="2" s="1"/>
  <c r="H46" i="2"/>
  <c r="I46" i="2" s="1"/>
  <c r="H48" i="2"/>
  <c r="I48" i="2" s="1"/>
  <c r="H57" i="2"/>
  <c r="I57" i="2" s="1"/>
  <c r="H58" i="2"/>
  <c r="I58" i="2" s="1"/>
  <c r="H59" i="2"/>
  <c r="I59" i="2" s="1"/>
  <c r="H38" i="2"/>
  <c r="I38" i="2" s="1"/>
  <c r="H52" i="2"/>
  <c r="I52" i="2" s="1"/>
  <c r="H61" i="2"/>
  <c r="I61" i="2" s="1"/>
  <c r="H70" i="2"/>
  <c r="I70" i="2" s="1"/>
  <c r="H63" i="2"/>
  <c r="I63" i="2" s="1"/>
  <c r="H64" i="2"/>
  <c r="I64" i="2" s="1"/>
  <c r="H41" i="2"/>
  <c r="I41" i="2" s="1"/>
  <c r="H43" i="2"/>
  <c r="I43" i="2" s="1"/>
  <c r="H53" i="2"/>
  <c r="I53" i="2" s="1"/>
  <c r="H36" i="2"/>
  <c r="I36" i="2" s="1"/>
  <c r="H68" i="2"/>
  <c r="I68" i="2" s="1"/>
  <c r="H37" i="2"/>
  <c r="I37" i="2" s="1"/>
  <c r="H47" i="2"/>
  <c r="I47" i="2" s="1"/>
  <c r="H33" i="2"/>
  <c r="H29" i="2"/>
  <c r="I29" i="2" s="1"/>
  <c r="H31" i="2"/>
  <c r="I31" i="2" s="1"/>
  <c r="H26" i="2"/>
  <c r="I26" i="2" s="1"/>
  <c r="H24" i="2"/>
  <c r="I24" i="2" s="1"/>
  <c r="H30" i="2"/>
  <c r="I30" i="2" s="1"/>
  <c r="H32" i="2"/>
  <c r="I32" i="2" s="1"/>
  <c r="H20" i="2"/>
  <c r="I20" i="2" s="1"/>
  <c r="H22" i="2"/>
  <c r="I22" i="2" s="1"/>
  <c r="H27" i="2"/>
  <c r="I27" i="2" s="1"/>
  <c r="H21" i="2"/>
  <c r="I21" i="2" s="1"/>
  <c r="H23" i="2"/>
  <c r="I23" i="2" s="1"/>
  <c r="H25" i="2"/>
  <c r="I25" i="2" s="1"/>
  <c r="H19" i="2"/>
  <c r="I19" i="2" s="1"/>
  <c r="H6" i="2"/>
  <c r="I6" i="2" s="1"/>
  <c r="H3" i="2"/>
  <c r="I3" i="2" s="1"/>
  <c r="H7" i="2"/>
  <c r="I7" i="2" s="1"/>
  <c r="H8" i="2"/>
  <c r="I8" i="2" s="1"/>
  <c r="H5" i="2"/>
  <c r="I5" i="2" s="1"/>
  <c r="H4" i="2"/>
  <c r="I4" i="2" s="1"/>
  <c r="F73" i="2"/>
  <c r="H73" i="2"/>
  <c r="I73" i="2" s="1"/>
  <c r="F19" i="2"/>
  <c r="F33" i="2"/>
  <c r="I33" i="2"/>
  <c r="F8" i="2"/>
  <c r="F72" i="2"/>
  <c r="I72" i="2"/>
  <c r="M9" i="1"/>
  <c r="M20" i="1"/>
  <c r="L25" i="1"/>
  <c r="L23" i="1"/>
  <c r="L20" i="1"/>
  <c r="K32" i="1"/>
  <c r="K21" i="1"/>
  <c r="K22" i="1"/>
  <c r="K8" i="1"/>
  <c r="K20" i="1" s="1"/>
  <c r="K6" i="1"/>
  <c r="H22" i="1"/>
  <c r="I22" i="1"/>
  <c r="J22" i="1"/>
  <c r="J32" i="1"/>
  <c r="J21" i="1"/>
  <c r="J20" i="1"/>
  <c r="J8" i="1"/>
  <c r="J9" i="1" s="1"/>
  <c r="J23" i="1" s="1"/>
  <c r="J6" i="1"/>
  <c r="I32" i="1"/>
  <c r="I21" i="1"/>
  <c r="I6" i="1"/>
  <c r="I8" i="1" s="1"/>
  <c r="J25" i="1" l="1"/>
  <c r="J28" i="1" s="1"/>
  <c r="J37" i="1" s="1"/>
  <c r="M23" i="1"/>
  <c r="M25" i="1"/>
  <c r="L28" i="1"/>
  <c r="L33" i="1" s="1"/>
  <c r="K9" i="1"/>
  <c r="I20" i="1"/>
  <c r="I9" i="1"/>
  <c r="H32" i="1"/>
  <c r="H21" i="1"/>
  <c r="H6" i="1"/>
  <c r="H8" i="1" s="1"/>
  <c r="H20" i="1" s="1"/>
  <c r="L35" i="1"/>
  <c r="L36" i="1"/>
  <c r="L34" i="1"/>
  <c r="M28" i="1" l="1"/>
  <c r="M33" i="1" s="1"/>
  <c r="K23" i="1"/>
  <c r="K25" i="1"/>
  <c r="J33" i="1"/>
  <c r="L37" i="1"/>
  <c r="L39" i="1" s="1"/>
  <c r="L40" i="1" s="1"/>
  <c r="I23" i="1"/>
  <c r="I25" i="1"/>
  <c r="H9" i="1"/>
  <c r="M35" i="1"/>
  <c r="M36" i="1"/>
  <c r="J36" i="1"/>
  <c r="J34" i="1"/>
  <c r="M34" i="1"/>
  <c r="J35" i="1"/>
  <c r="M37" i="1" l="1"/>
  <c r="M39" i="1" s="1"/>
  <c r="K28" i="1"/>
  <c r="K37" i="1" s="1"/>
  <c r="J43" i="1"/>
  <c r="J44" i="1" s="1"/>
  <c r="J46" i="1" s="1"/>
  <c r="J39" i="1"/>
  <c r="J41" i="1" s="1"/>
  <c r="H25" i="1"/>
  <c r="H23" i="1"/>
  <c r="L43" i="1"/>
  <c r="L44" i="1" s="1"/>
  <c r="L41" i="1"/>
  <c r="I28" i="1"/>
  <c r="M43" i="1" l="1"/>
  <c r="M44" i="1" s="1"/>
  <c r="M46" i="1" s="1"/>
  <c r="J40" i="1"/>
  <c r="K33" i="1"/>
  <c r="M41" i="1"/>
  <c r="M40" i="1"/>
  <c r="H28" i="1"/>
  <c r="L46" i="1"/>
  <c r="H37" i="1"/>
  <c r="K35" i="1"/>
  <c r="K36" i="1"/>
  <c r="K34" i="1"/>
  <c r="K43" i="1" l="1"/>
  <c r="K44" i="1" s="1"/>
  <c r="K46" i="1" s="1"/>
  <c r="K39" i="1"/>
  <c r="K41" i="1" s="1"/>
  <c r="H33" i="1"/>
  <c r="I33" i="1"/>
  <c r="I37" i="1"/>
  <c r="H34" i="1"/>
  <c r="I36" i="1"/>
  <c r="H36" i="1"/>
  <c r="H35" i="1"/>
  <c r="I35" i="1"/>
  <c r="I34" i="1"/>
  <c r="K40" i="1" l="1"/>
  <c r="I43" i="1"/>
  <c r="H43" i="1"/>
  <c r="H39" i="1"/>
  <c r="H41" i="1" s="1"/>
  <c r="I39" i="1"/>
  <c r="I41" i="1" s="1"/>
  <c r="H40" i="1" l="1"/>
  <c r="I40" i="1"/>
  <c r="E5" i="1" l="1"/>
  <c r="E6" i="1" s="1"/>
  <c r="E11" i="1" s="1"/>
  <c r="B14" i="1"/>
  <c r="G32" i="1"/>
  <c r="F32" i="1"/>
  <c r="E32" i="1"/>
  <c r="D32" i="1"/>
  <c r="B10" i="1"/>
  <c r="B9" i="1"/>
  <c r="B5" i="1"/>
  <c r="B6" i="1" s="1"/>
  <c r="B32" i="1"/>
  <c r="H44" i="1" l="1"/>
  <c r="H46" i="1" s="1"/>
  <c r="I44" i="1"/>
  <c r="B28" i="1"/>
  <c r="B33" i="1" s="1"/>
  <c r="C32" i="1"/>
  <c r="B34" i="1"/>
  <c r="B35" i="1"/>
  <c r="B36" i="1"/>
  <c r="D28" i="1" l="1"/>
  <c r="D33" i="1" s="1"/>
  <c r="B43" i="1"/>
  <c r="B44" i="1" s="1"/>
  <c r="B39" i="1"/>
  <c r="B40" i="1" s="1"/>
  <c r="B41" i="1" s="1"/>
  <c r="I46" i="1"/>
  <c r="F33" i="1"/>
  <c r="E33" i="1"/>
  <c r="G28" i="1"/>
  <c r="G33" i="1" s="1"/>
  <c r="C33" i="1"/>
  <c r="C34" i="1"/>
  <c r="E36" i="1"/>
  <c r="C36" i="1"/>
  <c r="G34" i="1"/>
  <c r="F34" i="1"/>
  <c r="D35" i="1"/>
  <c r="E34" i="1"/>
  <c r="G35" i="1"/>
  <c r="F36" i="1"/>
  <c r="C35" i="1"/>
  <c r="E35" i="1"/>
  <c r="G36" i="1"/>
  <c r="D36" i="1"/>
  <c r="D34" i="1"/>
  <c r="F35" i="1"/>
  <c r="I45" i="1" l="1"/>
  <c r="H45" i="1"/>
  <c r="D39" i="1"/>
  <c r="D40" i="1" s="1"/>
  <c r="D41" i="1" s="1"/>
  <c r="D43" i="1"/>
  <c r="D44" i="1" s="1"/>
  <c r="D45" i="1" s="1"/>
  <c r="D46" i="1" s="1"/>
  <c r="M45" i="1"/>
  <c r="J45" i="1"/>
  <c r="L45" i="1"/>
  <c r="K45" i="1"/>
  <c r="E39" i="1"/>
  <c r="E40" i="1" s="1"/>
  <c r="E41" i="1" s="1"/>
  <c r="G43" i="1"/>
  <c r="G44" i="1" s="1"/>
  <c r="G39" i="1"/>
  <c r="G40" i="1" s="1"/>
  <c r="G41" i="1" s="1"/>
  <c r="E43" i="1"/>
  <c r="E44" i="1" s="1"/>
  <c r="E45" i="1" s="1"/>
  <c r="E46" i="1" s="1"/>
  <c r="C39" i="1"/>
  <c r="C40" i="1" s="1"/>
  <c r="C41" i="1" s="1"/>
  <c r="F39" i="1"/>
  <c r="F40" i="1" s="1"/>
  <c r="F41" i="1" s="1"/>
  <c r="C43" i="1"/>
  <c r="C44" i="1" s="1"/>
  <c r="C45" i="1" s="1"/>
  <c r="C46" i="1" s="1"/>
  <c r="F43" i="1"/>
  <c r="F44" i="1" s="1"/>
  <c r="F45" i="1" s="1"/>
  <c r="F46" i="1" s="1"/>
  <c r="G45" i="1" l="1"/>
  <c r="G46" i="1" s="1"/>
  <c r="B9" i="2" l="1"/>
  <c r="C9" i="2"/>
  <c r="D9" i="2"/>
  <c r="E9" i="2"/>
  <c r="F9" i="2" s="1"/>
  <c r="G9" i="2"/>
  <c r="H9" i="2" l="1"/>
  <c r="I9" i="2" s="1"/>
  <c r="C12" i="2"/>
  <c r="D12" i="2"/>
  <c r="B12" i="2"/>
  <c r="B16" i="2"/>
  <c r="D16" i="2"/>
  <c r="C16" i="2"/>
  <c r="B13" i="2"/>
  <c r="C13" i="2"/>
  <c r="D13" i="2"/>
  <c r="E13" i="2"/>
  <c r="F13" i="2" s="1"/>
  <c r="B17" i="2"/>
  <c r="C17" i="2"/>
  <c r="D17" i="2"/>
  <c r="H13" i="2" l="1"/>
  <c r="B14" i="2"/>
  <c r="C14" i="2"/>
  <c r="D14" i="2"/>
  <c r="E14" i="2"/>
  <c r="F14" i="2" s="1"/>
  <c r="B10" i="2"/>
  <c r="D10" i="2"/>
  <c r="C10" i="2"/>
  <c r="H14" i="2" l="1"/>
  <c r="B18" i="2"/>
  <c r="C18" i="2"/>
  <c r="D18" i="2"/>
  <c r="B15" i="2"/>
  <c r="C15" i="2"/>
  <c r="D15" i="2"/>
  <c r="G10" i="2"/>
  <c r="E15" i="2"/>
  <c r="F15" i="2" s="1"/>
  <c r="G15" i="2"/>
  <c r="G18" i="2"/>
  <c r="B11" i="2"/>
  <c r="D11" i="2"/>
  <c r="C11" i="2"/>
  <c r="H15" i="2" l="1"/>
  <c r="I15" i="2" s="1"/>
  <c r="G11" i="2"/>
  <c r="E18" i="2"/>
  <c r="F18" i="2" s="1"/>
  <c r="G13" i="2"/>
  <c r="I13" i="2" s="1"/>
  <c r="G14" i="2"/>
  <c r="I14" i="2" s="1"/>
  <c r="G12" i="2"/>
  <c r="E11" i="2"/>
  <c r="F11" i="2" s="1"/>
  <c r="G16" i="2"/>
  <c r="G17" i="2"/>
  <c r="E10" i="2"/>
  <c r="F10" i="2" s="1"/>
  <c r="E16" i="2"/>
  <c r="F16" i="2" s="1"/>
  <c r="E17" i="2"/>
  <c r="F17" i="2" s="1"/>
  <c r="E12" i="2"/>
  <c r="F12" i="2" s="1"/>
  <c r="H16" i="2" l="1"/>
  <c r="I16" i="2" s="1"/>
  <c r="H11" i="2"/>
  <c r="I11" i="2" s="1"/>
  <c r="H10" i="2"/>
  <c r="I10" i="2" s="1"/>
  <c r="H18" i="2"/>
  <c r="I18" i="2" s="1"/>
  <c r="H17" i="2"/>
  <c r="I17" i="2" s="1"/>
  <c r="H12" i="2"/>
  <c r="I12" i="2" s="1"/>
</calcChain>
</file>

<file path=xl/sharedStrings.xml><?xml version="1.0" encoding="utf-8"?>
<sst xmlns="http://schemas.openxmlformats.org/spreadsheetml/2006/main" count="100" uniqueCount="87">
  <si>
    <t>Bijtelling</t>
  </si>
  <si>
    <t>Bruto inkomen per jaar</t>
  </si>
  <si>
    <t>Zakelijke Auto Waarde</t>
  </si>
  <si>
    <t>Belastbaar inkomen</t>
  </si>
  <si>
    <t>Onbelast inkomen per jaar</t>
  </si>
  <si>
    <t>Loonheffing</t>
  </si>
  <si>
    <t>Arbeidskorting</t>
  </si>
  <si>
    <t>Netto jaarloon</t>
  </si>
  <si>
    <t>Netto maandloon</t>
  </si>
  <si>
    <t>Totale belasting</t>
  </si>
  <si>
    <t>Algemene heffingskorting</t>
  </si>
  <si>
    <t>Zakelijke lease Junior</t>
  </si>
  <si>
    <t>Mobiliteit Junior</t>
  </si>
  <si>
    <t>Vakantiegeld</t>
  </si>
  <si>
    <t>13e Maand</t>
  </si>
  <si>
    <t>Basis Salaris Per Maand</t>
  </si>
  <si>
    <t>Onkostenvergoeding</t>
  </si>
  <si>
    <t>Mobiliteit Medior</t>
  </si>
  <si>
    <t>Medior vergoeding goedkope lease</t>
  </si>
  <si>
    <t>Verschil Mobiliteit Junior</t>
  </si>
  <si>
    <t>Mobiliteit medior</t>
  </si>
  <si>
    <t>Zakelijke Lease Medior Goedkoop</t>
  </si>
  <si>
    <t>Medior inhouding duure lease</t>
  </si>
  <si>
    <t>Zakelijke Lease Medior</t>
  </si>
  <si>
    <t>Extra Salaris Medior</t>
  </si>
  <si>
    <t>Bruto maandsalaris Medior</t>
  </si>
  <si>
    <t>Bruto maandsalaris Junior</t>
  </si>
  <si>
    <t>Zakelijke Lease Medior Duur</t>
  </si>
  <si>
    <t>Pensioenpremie</t>
  </si>
  <si>
    <t>WIA Verzekering</t>
  </si>
  <si>
    <t>Eigen Auto</t>
  </si>
  <si>
    <t>KM per jaar</t>
  </si>
  <si>
    <t>Verbruik (L/100km)</t>
  </si>
  <si>
    <t>Prijs per L</t>
  </si>
  <si>
    <t>Verbruik per jaar</t>
  </si>
  <si>
    <t>Verbruik per maand</t>
  </si>
  <si>
    <t>Onderhoudskosten</t>
  </si>
  <si>
    <t>Afschrijving</t>
  </si>
  <si>
    <t>Belasting</t>
  </si>
  <si>
    <t>Verzekering</t>
  </si>
  <si>
    <t>Totaal pmnd</t>
  </si>
  <si>
    <t>Effectief belastingpercentage</t>
  </si>
  <si>
    <t>ZZP aantal jaren al bezig</t>
  </si>
  <si>
    <t>Uurtarief</t>
  </si>
  <si>
    <t>Weken totaal</t>
  </si>
  <si>
    <t>Weken vakantie/ziekte e.d.</t>
  </si>
  <si>
    <t>Werkweken</t>
  </si>
  <si>
    <t>Uur per week</t>
  </si>
  <si>
    <t>Uren per jaar</t>
  </si>
  <si>
    <t>Omzet per jaar</t>
  </si>
  <si>
    <t>Zakelijke leasewagen inc btw</t>
  </si>
  <si>
    <t>Brandstof inc btw</t>
  </si>
  <si>
    <t>Ziektewet verzekering</t>
  </si>
  <si>
    <t>WIA verzekering</t>
  </si>
  <si>
    <t>WAO verzekering</t>
  </si>
  <si>
    <t>Werkloosheidsverzekering</t>
  </si>
  <si>
    <t>Pensoenfonds bijdrage</t>
  </si>
  <si>
    <t>Arbeidsongeschiktheidsverzekering</t>
  </si>
  <si>
    <t>ZZP aftrek</t>
  </si>
  <si>
    <t>Startersaftrek</t>
  </si>
  <si>
    <t>BTW terugvraag</t>
  </si>
  <si>
    <t>MKB-winstvrijstelling (14%)</t>
  </si>
  <si>
    <t>Winst uit onderneming</t>
  </si>
  <si>
    <t>&lt;= Voor hypotheek</t>
  </si>
  <si>
    <t>Bijdrage ZWV</t>
  </si>
  <si>
    <t>Effectief ZZP belastingpercentage</t>
  </si>
  <si>
    <t>Loondienst</t>
  </si>
  <si>
    <t>3 jaar ZZP + Leasebak</t>
  </si>
  <si>
    <t>Starter ZZP + eigen auto</t>
  </si>
  <si>
    <t>https://www.uwv.nl/particulieren/rekenhulpen/verzekering-van-uwv/index.aspx</t>
  </si>
  <si>
    <t>https://www.superlease.nl/</t>
  </si>
  <si>
    <t>https://www.unive.nl/zakelijk/arbeidsongeschiktheidsverzekering/aov-zzp/premieberekenen-en-afsluiten/uw-aov</t>
  </si>
  <si>
    <t>https://www.zzppensioen.nl/compares/berekenen-kosten/</t>
  </si>
  <si>
    <t>3 jaar field expert ZZP + Leasebak</t>
  </si>
  <si>
    <t>YOLO ZZP</t>
  </si>
  <si>
    <t>YOLO FIELD EXPERT ZZP + Leasebak</t>
  </si>
  <si>
    <t>YOLO FIELD EXPERT ZZP</t>
  </si>
  <si>
    <t>Verrekening eigen auto wel/niet rijden</t>
  </si>
  <si>
    <t>Percentage</t>
  </si>
  <si>
    <t>Belastbaar loon</t>
  </si>
  <si>
    <t>Algemene Heffingskorting</t>
  </si>
  <si>
    <t>Netto loon</t>
  </si>
  <si>
    <t>Netto tov vorige schijf</t>
  </si>
  <si>
    <t>Bruto tov vorige schijf</t>
  </si>
  <si>
    <t>Schijf belastingpercentage</t>
  </si>
  <si>
    <t>Van</t>
  </si>
  <si>
    <t>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</si>
</sst>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&quot;€&quot;\ 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2" fillId="0" borderId="0" xfId="1"/>
    <xf numFmtId="165" fontId="2" fillId="0" borderId="0" xfId="1" applyNumberFormat="1"/>
    <xf numFmtId="0" fontId="0" fillId="2" borderId="0" xfId="0" applyFill="1"/>
    <xf numFmtId="164" fontId="0" fillId="2" borderId="0" xfId="0" applyNumberFormat="1" applyFill="1"/>
    <xf numFmtId="165" fontId="0" fillId="3" borderId="0" xfId="0" applyNumberFormat="1" applyFill="1"/>
    <xf numFmtId="164" fontId="0" fillId="3" borderId="0" xfId="0" applyNumberFormat="1" applyFill="1"/>
    <xf numFmtId="165" fontId="0" fillId="4" borderId="0" xfId="0" applyNumberFormat="1" applyFill="1"/>
    <xf numFmtId="10" fontId="0" fillId="4" borderId="0" xfId="0" applyNumberFormat="1" applyFill="1"/>
    <xf numFmtId="165" fontId="0" fillId="0" borderId="0" xfId="0" applyNumberFormat="1" applyFill="1"/>
  </cellXfs>
  <cellStyles count="2">
    <cellStyle name="Hyperlink" xfId="1" builtinId="8"/>
    <cellStyle name="Normal" xfId="0" builtinId="0"/>
  </cellStyles>
  <dxfs count="21"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867C3-B9D4-41B9-A72D-D1DFFA03A1B9}" name="Table1" displayName="Table1" ref="A1:I76" totalsRowShown="0">
  <autoFilter ref="A1:I76" xr:uid="{340A06E1-D191-4D03-9DA1-503FB4E9FCD6}"/>
  <tableColumns count="9">
    <tableColumn id="1" xr3:uid="{A4841C47-28D6-489B-8CD0-97CE6AE569AE}" name="Belastbaar loon" dataDxfId="3"/>
    <tableColumn id="2" xr3:uid="{2144F1A0-B9E8-4AF3-A0D8-E1C59EBA8F34}" name="Loonheffing" dataDxfId="19">
      <calculatedColumnFormula>LoonHeffing2020(Table1[[#This Row],[Belastbaar loon]])</calculatedColumnFormula>
    </tableColumn>
    <tableColumn id="3" xr3:uid="{D6BE9CE3-A559-47D4-A559-4B099699B6AB}" name="Algemene Heffingskorting" dataDxfId="18">
      <calculatedColumnFormula>AlgemeneHeffingsKorting2020(Table1[[#This Row],[Belastbaar loon]])</calculatedColumnFormula>
    </tableColumn>
    <tableColumn id="4" xr3:uid="{4727247D-198F-4A76-B3FA-01CD2928D012}" name="Arbeidskorting" dataDxfId="17">
      <calculatedColumnFormula>ArbeidsKorting2020(Table1[[#This Row],[Belastbaar loon]])</calculatedColumnFormula>
    </tableColumn>
    <tableColumn id="5" xr3:uid="{00C46F5C-DBD9-422E-88E4-E4450EBD3054}" name="Netto loon" dataDxfId="16">
      <calculatedColumnFormula>MIN(Table1[[#This Row],[Belastbaar loon]]-Table1[[#This Row],[Loonheffing]]+Table1[[#This Row],[Algemene Heffingskorting]]+Table1[[#This Row],[Arbeidskorting]],Table1[[#This Row],[Belastbaar loon]])</calculatedColumnFormula>
    </tableColumn>
    <tableColumn id="6" xr3:uid="{04593F55-106A-41D7-8DB9-E3B96775EE24}" name="Effectief belastingpercentage" dataDxfId="20">
      <calculatedColumnFormula>(Table1[[#This Row],[Belastbaar loon]]-Table1[[#This Row],[Netto loon]])/Table1[[#This Row],[Belastbaar loon]]</calculatedColumnFormula>
    </tableColumn>
    <tableColumn id="8" xr3:uid="{E14C9CCD-C205-45FC-931C-2E0F525C325A}" name="Bruto tov vorige schijf" dataDxfId="14"/>
    <tableColumn id="7" xr3:uid="{FE02EB51-6389-4D48-B7B6-C2EE534C76DE}" name="Netto tov vorige schijf" dataDxfId="15"/>
    <tableColumn id="9" xr3:uid="{B75FBDD3-C45E-41D2-A30D-40454ED42A13}" name="Schijf belastingpercentage" dataDxfId="13">
      <calculatedColumnFormula>(Table1[[#This Row],[Bruto tov vorige schijf]]-Table1[[#This Row],[Netto tov vorige schijf]])/MAX(Table1[[#This Row],[Bruto tov vorige schijf]],1)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E26DE-D64E-442B-A101-232FD15EEF80}" name="Table13" displayName="Table13" ref="A1:I9" totalsRowShown="0">
  <autoFilter ref="A1:I9" xr:uid="{340A06E1-D191-4D03-9DA1-503FB4E9FCD6}"/>
  <tableColumns count="9">
    <tableColumn id="1" xr3:uid="{A857BDBF-4363-4DA5-8AEA-639E024C7C86}" name="Belastbaar loon" dataDxfId="12"/>
    <tableColumn id="2" xr3:uid="{2FE03EC9-688D-435C-9D3F-AA82559B082A}" name="Loonheffing" dataDxfId="11">
      <calculatedColumnFormula>LoonHeffing2020(Table13[[#This Row],[Belastbaar loon]])</calculatedColumnFormula>
    </tableColumn>
    <tableColumn id="3" xr3:uid="{2DD5787E-A907-4BEC-9ABE-747B12F93E61}" name="Algemene Heffingskorting" dataDxfId="10">
      <calculatedColumnFormula>AlgemeneHeffingsKorting2020(Table13[[#This Row],[Belastbaar loon]])</calculatedColumnFormula>
    </tableColumn>
    <tableColumn id="4" xr3:uid="{AC783026-7AAF-4D4C-8296-8AC9C36D048F}" name="Arbeidskorting" dataDxfId="9">
      <calculatedColumnFormula>ArbeidsKorting2020(Table13[[#This Row],[Belastbaar loon]])</calculatedColumnFormula>
    </tableColumn>
    <tableColumn id="5" xr3:uid="{D930C5DB-E822-4E6B-8A27-4B8F85E8E416}" name="Netto loon" dataDxfId="8">
      <calculatedColumnFormula>MIN(Table13[[#This Row],[Belastbaar loon]]-Table13[[#This Row],[Loonheffing]]+Table13[[#This Row],[Algemene Heffingskorting]]+Table13[[#This Row],[Arbeidskorting]],Table13[[#This Row],[Belastbaar loon]])</calculatedColumnFormula>
    </tableColumn>
    <tableColumn id="6" xr3:uid="{0585122A-6000-45AB-8132-E0B642BF9BFA}" name="Effectief belastingpercentage" dataDxfId="7">
      <calculatedColumnFormula>(Table13[[#This Row],[Belastbaar loon]]-Table13[[#This Row],[Netto loon]])/Table13[[#This Row],[Belastbaar loon]]</calculatedColumnFormula>
    </tableColumn>
    <tableColumn id="8" xr3:uid="{F9B55773-CD70-4350-870B-DD6B76D78E4A}" name="Bruto tov vorige schijf" dataDxfId="6"/>
    <tableColumn id="7" xr3:uid="{713F0598-2AD0-430E-BA06-65A2C4138D0B}" name="Netto tov vorige schijf" dataDxfId="5"/>
    <tableColumn id="9" xr3:uid="{67AE030F-0989-4736-AF58-67EAD6DE19BF}" name="Schijf belastingpercentage" dataDxfId="4">
      <calculatedColumnFormula>(Table13[[#This Row],[Bruto tov vorige schijf]]-Table13[[#This Row],[Netto tov vorige schijf]])/MAX(Table13[[#This Row],[Bruto tov vorige schijf]],1)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A1873E-6ADA-4D43-BA02-CDA4FF28979C}" name="Table3" displayName="Table3" ref="A1:C6" totalsRowShown="0">
  <autoFilter ref="A1:C6" xr:uid="{2DF55A62-23DD-442D-9BFE-166300A0B00B}"/>
  <tableColumns count="3">
    <tableColumn id="1" xr3:uid="{23D1A2B7-7F9F-4056-A98A-7F672F612339}" name="Van" dataDxfId="2"/>
    <tableColumn id="2" xr3:uid="{33790CA4-6883-4370-B03F-3B7D88A61AA2}" name="Tot" dataDxfId="1"/>
    <tableColumn id="3" xr3:uid="{E795F01D-0643-4E15-AB09-1FC3DF28F8BC}" name="Percenta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ive.nl/zakelijk/arbeidsongeschiktheidsverzekering/aov-zzp/premieberekenen-en-afsluiten/uw-aov" TargetMode="External"/><Relationship Id="rId2" Type="http://schemas.openxmlformats.org/officeDocument/2006/relationships/hyperlink" Target="https://www.superlease.nl/" TargetMode="External"/><Relationship Id="rId1" Type="http://schemas.openxmlformats.org/officeDocument/2006/relationships/hyperlink" Target="https://www.uwv.nl/particulieren/rekenhulpen/verzekering-van-uwv/index.aspx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zzppensioen.nl/compares/berekenen-kosten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3759-95C2-45F3-801B-C86DB50B06A6}">
  <sheetPr codeName="Sheet1"/>
  <dimension ref="A1:N46"/>
  <sheetViews>
    <sheetView workbookViewId="0">
      <selection activeCell="B36" sqref="B36"/>
    </sheetView>
  </sheetViews>
  <sheetFormatPr defaultRowHeight="15" x14ac:dyDescent="0.25"/>
  <cols>
    <col min="1" max="1" width="36.5703125" bestFit="1" customWidth="1"/>
    <col min="2" max="2" width="22.42578125" customWidth="1"/>
    <col min="3" max="3" width="20.28515625" bestFit="1" customWidth="1"/>
    <col min="4" max="4" width="18.28515625" bestFit="1" customWidth="1"/>
    <col min="5" max="5" width="31.5703125" bestFit="1" customWidth="1"/>
    <col min="6" max="6" width="21.7109375" bestFit="1" customWidth="1"/>
    <col min="7" max="7" width="26.5703125" bestFit="1" customWidth="1"/>
    <col min="8" max="8" width="33.42578125" bestFit="1" customWidth="1"/>
    <col min="9" max="9" width="20.5703125" bestFit="1" customWidth="1"/>
    <col min="10" max="10" width="30.85546875" bestFit="1" customWidth="1"/>
    <col min="11" max="11" width="18" bestFit="1" customWidth="1"/>
    <col min="12" max="12" width="32" bestFit="1" customWidth="1"/>
    <col min="13" max="13" width="21.7109375" bestFit="1" customWidth="1"/>
  </cols>
  <sheetData>
    <row r="1" spans="1:14" x14ac:dyDescent="0.25">
      <c r="B1" t="s">
        <v>66</v>
      </c>
      <c r="D1" t="s">
        <v>30</v>
      </c>
      <c r="G1" t="s">
        <v>42</v>
      </c>
      <c r="H1">
        <v>0</v>
      </c>
      <c r="I1">
        <v>3</v>
      </c>
      <c r="J1">
        <v>3</v>
      </c>
      <c r="K1">
        <v>0</v>
      </c>
      <c r="L1">
        <v>3</v>
      </c>
      <c r="M1">
        <v>3</v>
      </c>
    </row>
    <row r="2" spans="1:14" x14ac:dyDescent="0.25">
      <c r="A2" t="s">
        <v>15</v>
      </c>
      <c r="B2" s="1">
        <v>2550</v>
      </c>
      <c r="D2" t="s">
        <v>31</v>
      </c>
      <c r="E2">
        <v>55000</v>
      </c>
    </row>
    <row r="3" spans="1:14" x14ac:dyDescent="0.25">
      <c r="A3" t="s">
        <v>24</v>
      </c>
      <c r="B3" s="1">
        <v>0</v>
      </c>
      <c r="C3" s="1"/>
      <c r="D3" t="s">
        <v>32</v>
      </c>
      <c r="E3">
        <v>6</v>
      </c>
      <c r="G3" t="s">
        <v>43</v>
      </c>
      <c r="H3" s="1">
        <v>70</v>
      </c>
      <c r="I3" s="1">
        <v>90</v>
      </c>
      <c r="J3" s="1">
        <v>90</v>
      </c>
      <c r="K3" s="1">
        <v>70</v>
      </c>
      <c r="L3" s="1">
        <v>90</v>
      </c>
      <c r="M3" s="1">
        <v>90</v>
      </c>
    </row>
    <row r="4" spans="1:14" x14ac:dyDescent="0.25">
      <c r="A4" t="s">
        <v>13</v>
      </c>
      <c r="B4" s="2">
        <v>0.08</v>
      </c>
      <c r="D4" t="s">
        <v>33</v>
      </c>
      <c r="E4" s="1">
        <v>1.35</v>
      </c>
      <c r="G4" t="s">
        <v>44</v>
      </c>
      <c r="H4" s="5">
        <v>52</v>
      </c>
      <c r="I4">
        <v>52</v>
      </c>
      <c r="J4">
        <v>52</v>
      </c>
      <c r="K4">
        <v>52</v>
      </c>
      <c r="L4">
        <v>52</v>
      </c>
      <c r="M4">
        <v>52</v>
      </c>
    </row>
    <row r="5" spans="1:14" x14ac:dyDescent="0.25">
      <c r="A5" t="s">
        <v>14</v>
      </c>
      <c r="B5" s="2">
        <f>8%+1%/3</f>
        <v>8.3333333333333329E-2</v>
      </c>
      <c r="D5" t="s">
        <v>34</v>
      </c>
      <c r="E5" s="1">
        <f>E2/100*E3*E4</f>
        <v>4455</v>
      </c>
      <c r="G5" t="s">
        <v>45</v>
      </c>
      <c r="H5" s="5">
        <v>10</v>
      </c>
      <c r="I5">
        <v>12</v>
      </c>
      <c r="J5">
        <v>12</v>
      </c>
      <c r="K5">
        <v>10</v>
      </c>
      <c r="L5">
        <v>12</v>
      </c>
      <c r="M5">
        <v>12</v>
      </c>
    </row>
    <row r="6" spans="1:14" x14ac:dyDescent="0.25">
      <c r="A6" t="s">
        <v>26</v>
      </c>
      <c r="B6" s="1">
        <f>(B2)*(100%+B4+B5)</f>
        <v>2966.5</v>
      </c>
      <c r="D6" t="s">
        <v>35</v>
      </c>
      <c r="E6" s="1">
        <f>E5/12</f>
        <v>371.25</v>
      </c>
      <c r="G6" t="s">
        <v>46</v>
      </c>
      <c r="H6">
        <f t="shared" ref="H6:M6" si="0">H4-H5</f>
        <v>42</v>
      </c>
      <c r="I6">
        <f t="shared" si="0"/>
        <v>40</v>
      </c>
      <c r="J6">
        <f t="shared" si="0"/>
        <v>40</v>
      </c>
      <c r="K6">
        <f t="shared" si="0"/>
        <v>42</v>
      </c>
      <c r="L6">
        <f t="shared" si="0"/>
        <v>40</v>
      </c>
      <c r="M6">
        <f t="shared" si="0"/>
        <v>40</v>
      </c>
    </row>
    <row r="7" spans="1:14" x14ac:dyDescent="0.25">
      <c r="A7" t="s">
        <v>25</v>
      </c>
      <c r="B7" s="1">
        <f>(B2+B3)*(100%+B4+B5)</f>
        <v>2966.5</v>
      </c>
      <c r="D7" t="s">
        <v>36</v>
      </c>
      <c r="E7" s="1">
        <v>400</v>
      </c>
      <c r="G7" t="s">
        <v>47</v>
      </c>
      <c r="H7">
        <v>40</v>
      </c>
      <c r="I7">
        <v>32</v>
      </c>
      <c r="J7">
        <v>32</v>
      </c>
      <c r="K7">
        <v>40</v>
      </c>
      <c r="L7">
        <v>32</v>
      </c>
      <c r="M7">
        <v>32</v>
      </c>
    </row>
    <row r="8" spans="1:14" x14ac:dyDescent="0.25">
      <c r="A8" t="s">
        <v>16</v>
      </c>
      <c r="B8" s="1">
        <f>90.81</f>
        <v>90.81</v>
      </c>
      <c r="D8" t="s">
        <v>37</v>
      </c>
      <c r="E8" s="1">
        <v>75</v>
      </c>
      <c r="G8" t="s">
        <v>48</v>
      </c>
      <c r="H8">
        <f t="shared" ref="H8:M8" si="1">H7*H6</f>
        <v>1680</v>
      </c>
      <c r="I8">
        <f t="shared" si="1"/>
        <v>1280</v>
      </c>
      <c r="J8">
        <f t="shared" si="1"/>
        <v>1280</v>
      </c>
      <c r="K8">
        <f t="shared" si="1"/>
        <v>1680</v>
      </c>
      <c r="L8">
        <f t="shared" si="1"/>
        <v>1280</v>
      </c>
      <c r="M8">
        <f t="shared" si="1"/>
        <v>1280</v>
      </c>
    </row>
    <row r="9" spans="1:14" x14ac:dyDescent="0.25">
      <c r="A9" t="s">
        <v>12</v>
      </c>
      <c r="B9" s="1">
        <f>508*0.95</f>
        <v>482.59999999999997</v>
      </c>
      <c r="D9" t="s">
        <v>38</v>
      </c>
      <c r="E9" s="1">
        <v>89</v>
      </c>
      <c r="G9" t="s">
        <v>49</v>
      </c>
      <c r="H9" s="6">
        <f t="shared" ref="H9:M9" si="2">H8*H3</f>
        <v>117600</v>
      </c>
      <c r="I9" s="1">
        <f t="shared" si="2"/>
        <v>115200</v>
      </c>
      <c r="J9" s="1">
        <f t="shared" si="2"/>
        <v>115200</v>
      </c>
      <c r="K9" s="1">
        <f t="shared" si="2"/>
        <v>117600</v>
      </c>
      <c r="L9" s="1">
        <f t="shared" si="2"/>
        <v>115200</v>
      </c>
      <c r="M9" s="1">
        <f t="shared" si="2"/>
        <v>115200</v>
      </c>
    </row>
    <row r="10" spans="1:14" x14ac:dyDescent="0.25">
      <c r="A10" t="s">
        <v>17</v>
      </c>
      <c r="B10" s="1">
        <f>708*0.95</f>
        <v>672.6</v>
      </c>
      <c r="D10" t="s">
        <v>39</v>
      </c>
      <c r="E10" s="1">
        <v>40</v>
      </c>
      <c r="H10" s="6"/>
    </row>
    <row r="11" spans="1:14" x14ac:dyDescent="0.25">
      <c r="A11" t="s">
        <v>18</v>
      </c>
      <c r="B11" s="1">
        <v>130</v>
      </c>
      <c r="D11" s="3" t="s">
        <v>40</v>
      </c>
      <c r="E11" s="4">
        <f>SUM(E6:E10)</f>
        <v>975.25</v>
      </c>
      <c r="G11" t="s">
        <v>50</v>
      </c>
      <c r="H11" s="6">
        <v>0</v>
      </c>
      <c r="I11" s="6">
        <v>1287</v>
      </c>
      <c r="J11">
        <v>1287</v>
      </c>
      <c r="K11">
        <v>0</v>
      </c>
      <c r="L11">
        <v>1287</v>
      </c>
      <c r="M11">
        <v>0</v>
      </c>
      <c r="N11" s="9" t="s">
        <v>70</v>
      </c>
    </row>
    <row r="12" spans="1:14" x14ac:dyDescent="0.25">
      <c r="A12" t="s">
        <v>22</v>
      </c>
      <c r="B12" s="1">
        <v>250</v>
      </c>
      <c r="G12" t="s">
        <v>51</v>
      </c>
      <c r="H12" s="6">
        <v>0</v>
      </c>
      <c r="I12" s="6">
        <v>486</v>
      </c>
      <c r="J12">
        <v>486</v>
      </c>
      <c r="K12">
        <v>0</v>
      </c>
      <c r="L12">
        <v>486</v>
      </c>
      <c r="M12">
        <v>0</v>
      </c>
    </row>
    <row r="13" spans="1:14" x14ac:dyDescent="0.25">
      <c r="A13" t="s">
        <v>28</v>
      </c>
      <c r="B13" s="1">
        <v>14.89</v>
      </c>
      <c r="G13" t="s">
        <v>52</v>
      </c>
      <c r="H13" s="6">
        <v>393</v>
      </c>
      <c r="I13" s="7">
        <v>393</v>
      </c>
      <c r="J13">
        <v>393</v>
      </c>
      <c r="K13">
        <v>0</v>
      </c>
      <c r="L13">
        <v>0</v>
      </c>
      <c r="M13">
        <v>0</v>
      </c>
      <c r="N13" s="8" t="s">
        <v>69</v>
      </c>
    </row>
    <row r="14" spans="1:14" x14ac:dyDescent="0.25">
      <c r="A14" t="s">
        <v>29</v>
      </c>
      <c r="B14" s="2">
        <f>0.42%</f>
        <v>4.1999999999999997E-3</v>
      </c>
      <c r="G14" t="s">
        <v>53</v>
      </c>
      <c r="H14" s="6">
        <v>359</v>
      </c>
      <c r="I14" s="7">
        <v>359</v>
      </c>
      <c r="J14">
        <v>359</v>
      </c>
      <c r="K14">
        <v>0</v>
      </c>
      <c r="L14">
        <v>0</v>
      </c>
      <c r="M14">
        <v>0</v>
      </c>
    </row>
    <row r="15" spans="1:14" x14ac:dyDescent="0.25">
      <c r="G15" t="s">
        <v>54</v>
      </c>
      <c r="H15" s="6">
        <v>323</v>
      </c>
      <c r="I15" s="7">
        <v>323</v>
      </c>
      <c r="J15">
        <v>323</v>
      </c>
      <c r="K15">
        <v>0</v>
      </c>
      <c r="L15">
        <v>0</v>
      </c>
      <c r="M15">
        <v>0</v>
      </c>
    </row>
    <row r="16" spans="1:14" x14ac:dyDescent="0.25">
      <c r="G16" t="s">
        <v>55</v>
      </c>
      <c r="H16" s="6">
        <v>88</v>
      </c>
      <c r="I16" s="7">
        <v>88</v>
      </c>
      <c r="J16">
        <v>88</v>
      </c>
      <c r="K16">
        <v>0</v>
      </c>
      <c r="L16">
        <v>0</v>
      </c>
      <c r="M16">
        <v>0</v>
      </c>
    </row>
    <row r="17" spans="1:14" x14ac:dyDescent="0.25">
      <c r="G17" t="s">
        <v>56</v>
      </c>
      <c r="H17" s="6">
        <v>500</v>
      </c>
      <c r="I17" s="7">
        <v>500</v>
      </c>
      <c r="J17">
        <v>500</v>
      </c>
      <c r="K17">
        <v>0</v>
      </c>
      <c r="L17">
        <v>0</v>
      </c>
      <c r="M17">
        <v>0</v>
      </c>
      <c r="N17" s="8" t="s">
        <v>72</v>
      </c>
    </row>
    <row r="18" spans="1:14" x14ac:dyDescent="0.25">
      <c r="G18" t="s">
        <v>57</v>
      </c>
      <c r="H18" s="6">
        <v>150</v>
      </c>
      <c r="I18" s="7">
        <v>150</v>
      </c>
      <c r="J18">
        <v>150</v>
      </c>
      <c r="K18">
        <v>0</v>
      </c>
      <c r="L18">
        <v>0</v>
      </c>
      <c r="M18">
        <v>0</v>
      </c>
      <c r="N18" s="8" t="s">
        <v>71</v>
      </c>
    </row>
    <row r="19" spans="1:14" x14ac:dyDescent="0.25">
      <c r="H19" s="6"/>
      <c r="I19" s="6"/>
    </row>
    <row r="20" spans="1:14" x14ac:dyDescent="0.25">
      <c r="G20" t="s">
        <v>58</v>
      </c>
      <c r="H20" s="6">
        <f t="shared" ref="H20:M20" si="3">IF(H8&gt;1225,7280,0)</f>
        <v>7280</v>
      </c>
      <c r="I20" s="7">
        <f t="shared" si="3"/>
        <v>7280</v>
      </c>
      <c r="J20" s="7">
        <f t="shared" si="3"/>
        <v>7280</v>
      </c>
      <c r="K20" s="7">
        <f t="shared" si="3"/>
        <v>7280</v>
      </c>
      <c r="L20" s="7">
        <f t="shared" si="3"/>
        <v>7280</v>
      </c>
      <c r="M20" s="7">
        <f t="shared" si="3"/>
        <v>7280</v>
      </c>
    </row>
    <row r="21" spans="1:14" x14ac:dyDescent="0.25">
      <c r="G21" t="s">
        <v>59</v>
      </c>
      <c r="H21" s="6">
        <f t="shared" ref="H21:M21" si="4">IF(H1&lt;3,2123,0)</f>
        <v>2123</v>
      </c>
      <c r="I21" s="6">
        <f t="shared" si="4"/>
        <v>0</v>
      </c>
      <c r="J21" s="6">
        <f t="shared" si="4"/>
        <v>0</v>
      </c>
      <c r="K21" s="6">
        <f t="shared" si="4"/>
        <v>2123</v>
      </c>
      <c r="L21" s="6">
        <f t="shared" si="4"/>
        <v>0</v>
      </c>
      <c r="M21" s="6">
        <f t="shared" si="4"/>
        <v>0</v>
      </c>
    </row>
    <row r="22" spans="1:14" x14ac:dyDescent="0.25">
      <c r="G22" t="s">
        <v>60</v>
      </c>
      <c r="H22" s="6">
        <f t="shared" ref="H22:I22" si="5">(H11+H12)*0.21*12</f>
        <v>0</v>
      </c>
      <c r="I22" s="6">
        <f t="shared" si="5"/>
        <v>4467.96</v>
      </c>
      <c r="J22" s="6">
        <f>(J11+J12)*0.21*12</f>
        <v>4467.96</v>
      </c>
      <c r="K22" s="6">
        <f>(K11+K12)*0.21*12</f>
        <v>0</v>
      </c>
      <c r="L22" s="6">
        <f>(L11+L12)*0.21*12</f>
        <v>4467.96</v>
      </c>
      <c r="M22" s="6">
        <f>(M11+M12)*0.21*12</f>
        <v>0</v>
      </c>
    </row>
    <row r="23" spans="1:14" x14ac:dyDescent="0.25">
      <c r="G23" t="s">
        <v>61</v>
      </c>
      <c r="H23" s="6">
        <f t="shared" ref="H23:M23" si="6">(H9-SUM(H11:H18)*12)*0.14</f>
        <v>13418.160000000002</v>
      </c>
      <c r="I23" s="6">
        <f t="shared" si="6"/>
        <v>10103.52</v>
      </c>
      <c r="J23" s="6">
        <f t="shared" si="6"/>
        <v>10103.52</v>
      </c>
      <c r="K23" s="6">
        <f t="shared" si="6"/>
        <v>16464</v>
      </c>
      <c r="L23" s="6">
        <f t="shared" si="6"/>
        <v>13149.36</v>
      </c>
      <c r="M23" s="6">
        <f t="shared" si="6"/>
        <v>16128.000000000002</v>
      </c>
    </row>
    <row r="24" spans="1:14" x14ac:dyDescent="0.25">
      <c r="H24" s="6"/>
      <c r="I24" s="6"/>
    </row>
    <row r="25" spans="1:14" x14ac:dyDescent="0.25">
      <c r="G25" t="s">
        <v>62</v>
      </c>
      <c r="H25" s="12">
        <f t="shared" ref="H25:M25" si="7">H9-SUM(H11:H18)*12</f>
        <v>95844</v>
      </c>
      <c r="I25" s="12">
        <f t="shared" si="7"/>
        <v>72168</v>
      </c>
      <c r="J25" s="12">
        <f t="shared" si="7"/>
        <v>72168</v>
      </c>
      <c r="K25" s="12">
        <f t="shared" si="7"/>
        <v>117600</v>
      </c>
      <c r="L25" s="12">
        <f t="shared" si="7"/>
        <v>93924</v>
      </c>
      <c r="M25" s="12">
        <f t="shared" si="7"/>
        <v>115200</v>
      </c>
      <c r="N25" t="s">
        <v>63</v>
      </c>
    </row>
    <row r="27" spans="1:14" x14ac:dyDescent="0.25">
      <c r="B27" t="s">
        <v>12</v>
      </c>
      <c r="C27" t="s">
        <v>11</v>
      </c>
      <c r="D27" t="s">
        <v>20</v>
      </c>
      <c r="E27" t="s">
        <v>21</v>
      </c>
      <c r="F27" t="s">
        <v>23</v>
      </c>
      <c r="G27" t="s">
        <v>27</v>
      </c>
      <c r="H27" t="s">
        <v>68</v>
      </c>
      <c r="I27" t="s">
        <v>67</v>
      </c>
      <c r="J27" t="s">
        <v>73</v>
      </c>
      <c r="K27" t="s">
        <v>74</v>
      </c>
      <c r="L27" t="s">
        <v>75</v>
      </c>
      <c r="M27" t="s">
        <v>76</v>
      </c>
    </row>
    <row r="28" spans="1:14" x14ac:dyDescent="0.25">
      <c r="A28" t="s">
        <v>1</v>
      </c>
      <c r="B28" s="13">
        <f>($B$6+$B$9)*12</f>
        <v>41389.199999999997</v>
      </c>
      <c r="C28" s="13">
        <f>$B$6*12</f>
        <v>35598</v>
      </c>
      <c r="D28" s="13">
        <f>($B$7+$B$10)*12</f>
        <v>43669.2</v>
      </c>
      <c r="E28" s="13">
        <f>($B$7+$B$11)*12</f>
        <v>37158</v>
      </c>
      <c r="F28" s="13">
        <f>$B$7*12</f>
        <v>35598</v>
      </c>
      <c r="G28" s="13">
        <f>$B$7*12</f>
        <v>35598</v>
      </c>
      <c r="H28" s="6">
        <f t="shared" ref="H28:M28" si="8">H25-SUM(H20:H23)</f>
        <v>73022.84</v>
      </c>
      <c r="I28" s="6">
        <f t="shared" si="8"/>
        <v>50316.520000000004</v>
      </c>
      <c r="J28" s="6">
        <f t="shared" si="8"/>
        <v>50316.520000000004</v>
      </c>
      <c r="K28" s="6">
        <f t="shared" si="8"/>
        <v>91733</v>
      </c>
      <c r="L28" s="6">
        <f t="shared" si="8"/>
        <v>69026.679999999993</v>
      </c>
      <c r="M28" s="6">
        <f t="shared" si="8"/>
        <v>91792</v>
      </c>
    </row>
    <row r="29" spans="1:14" x14ac:dyDescent="0.25">
      <c r="A29" t="s">
        <v>4</v>
      </c>
      <c r="B29" s="1">
        <f>$B$8*12</f>
        <v>1089.72</v>
      </c>
      <c r="C29" s="1">
        <f t="shared" ref="C29:G29" si="9">$B$8*12</f>
        <v>1089.72</v>
      </c>
      <c r="D29" s="1">
        <f t="shared" si="9"/>
        <v>1089.72</v>
      </c>
      <c r="E29" s="1">
        <f t="shared" si="9"/>
        <v>1089.72</v>
      </c>
      <c r="F29" s="1">
        <f t="shared" si="9"/>
        <v>1089.72</v>
      </c>
      <c r="G29" s="1">
        <f t="shared" si="9"/>
        <v>1089.72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</row>
    <row r="30" spans="1:14" x14ac:dyDescent="0.25">
      <c r="A30" t="s">
        <v>2</v>
      </c>
      <c r="B30" s="1">
        <v>0</v>
      </c>
      <c r="C30" s="1">
        <v>18900</v>
      </c>
      <c r="D30" s="1">
        <v>0</v>
      </c>
      <c r="E30" s="1">
        <v>18900</v>
      </c>
      <c r="F30" s="1">
        <v>18900</v>
      </c>
      <c r="G30" s="1">
        <v>40000</v>
      </c>
      <c r="H30" s="1">
        <v>0</v>
      </c>
      <c r="I30" s="1">
        <v>54104</v>
      </c>
      <c r="J30" s="1">
        <v>54104</v>
      </c>
      <c r="K30" s="1">
        <v>0</v>
      </c>
      <c r="L30" s="1">
        <v>0</v>
      </c>
      <c r="M30" s="1">
        <v>0</v>
      </c>
    </row>
    <row r="31" spans="1:14" x14ac:dyDescent="0.25">
      <c r="B31" s="1"/>
      <c r="C31" s="1"/>
      <c r="D31" s="1"/>
      <c r="E31" s="1"/>
      <c r="F31" s="1"/>
      <c r="G31" s="1"/>
      <c r="H31" s="1"/>
      <c r="I31" s="1"/>
      <c r="J31" s="1"/>
    </row>
    <row r="32" spans="1:14" x14ac:dyDescent="0.25">
      <c r="A32" t="s">
        <v>0</v>
      </c>
      <c r="B32" s="1">
        <f t="shared" ref="B32:G32" si="10">B30*0.22</f>
        <v>0</v>
      </c>
      <c r="C32" s="1">
        <f t="shared" si="10"/>
        <v>4158</v>
      </c>
      <c r="D32" s="1">
        <f t="shared" si="10"/>
        <v>0</v>
      </c>
      <c r="E32" s="1">
        <f t="shared" si="10"/>
        <v>4158</v>
      </c>
      <c r="F32" s="1">
        <f t="shared" si="10"/>
        <v>4158</v>
      </c>
      <c r="G32" s="1">
        <f t="shared" si="10"/>
        <v>8800</v>
      </c>
      <c r="H32" s="1">
        <f t="shared" ref="H32" si="11">H30*0.22</f>
        <v>0</v>
      </c>
      <c r="I32" s="1">
        <f>I30*0.22</f>
        <v>11902.88</v>
      </c>
      <c r="J32" s="1">
        <f>J30*0.22</f>
        <v>11902.88</v>
      </c>
      <c r="K32" s="1">
        <f>K30*0.22</f>
        <v>0</v>
      </c>
      <c r="L32" s="1">
        <f>L30*0.22</f>
        <v>0</v>
      </c>
      <c r="M32" s="1">
        <f>M30*0.22</f>
        <v>0</v>
      </c>
    </row>
    <row r="33" spans="1:13" x14ac:dyDescent="0.25">
      <c r="A33" t="s">
        <v>3</v>
      </c>
      <c r="B33" s="1">
        <f t="shared" ref="B33:G33" si="12">B28+B32</f>
        <v>41389.199999999997</v>
      </c>
      <c r="C33" s="1">
        <f t="shared" si="12"/>
        <v>39756</v>
      </c>
      <c r="D33" s="1">
        <f t="shared" si="12"/>
        <v>43669.2</v>
      </c>
      <c r="E33" s="1">
        <f t="shared" si="12"/>
        <v>41316</v>
      </c>
      <c r="F33" s="1">
        <f t="shared" si="12"/>
        <v>39756</v>
      </c>
      <c r="G33" s="1">
        <f t="shared" si="12"/>
        <v>44398</v>
      </c>
      <c r="H33" s="1">
        <f t="shared" ref="H33" si="13">H28+H32</f>
        <v>73022.84</v>
      </c>
      <c r="I33" s="1">
        <f t="shared" ref="I33" si="14">I28+I32</f>
        <v>62219.4</v>
      </c>
      <c r="J33" s="1">
        <f>J28+J32</f>
        <v>62219.4</v>
      </c>
      <c r="K33" s="1">
        <f>K28+K32</f>
        <v>91733</v>
      </c>
      <c r="L33" s="1">
        <f>L28+L32</f>
        <v>69026.679999999993</v>
      </c>
      <c r="M33" s="1">
        <f>M28+M32</f>
        <v>91792</v>
      </c>
    </row>
    <row r="34" spans="1:13" x14ac:dyDescent="0.25">
      <c r="A34" t="s">
        <v>5</v>
      </c>
      <c r="B34" s="1">
        <f t="shared" ref="B34:G34" si="15">LoonHeffing2020(B33)</f>
        <v>15458.866199999999</v>
      </c>
      <c r="C34" s="1">
        <f t="shared" si="15"/>
        <v>14848.866</v>
      </c>
      <c r="D34" s="1">
        <f t="shared" si="15"/>
        <v>16310.446199999998</v>
      </c>
      <c r="E34" s="1">
        <f t="shared" si="15"/>
        <v>15431.526</v>
      </c>
      <c r="F34" s="1">
        <f t="shared" si="15"/>
        <v>14848.866</v>
      </c>
      <c r="G34" s="1">
        <f t="shared" si="15"/>
        <v>16582.652999999998</v>
      </c>
      <c r="H34" s="1">
        <f t="shared" ref="H34" si="16">LoonHeffing2020(H33)</f>
        <v>27822.583799999997</v>
      </c>
      <c r="I34" s="1">
        <f t="shared" ref="I34" si="17">LoonHeffing2020(I33)</f>
        <v>23238.945899999999</v>
      </c>
      <c r="J34" s="1">
        <f>LoonHeffing2020(J33)</f>
        <v>23238.945899999999</v>
      </c>
      <c r="K34" s="1">
        <f>LoonHeffing2020(K33)</f>
        <v>37084.112999999998</v>
      </c>
      <c r="L34" s="1">
        <f>LoonHeffing2020(L33)</f>
        <v>25844.484599999996</v>
      </c>
      <c r="M34" s="1">
        <f>LoonHeffing2020(M33)</f>
        <v>37113.317999999999</v>
      </c>
    </row>
    <row r="35" spans="1:13" x14ac:dyDescent="0.25">
      <c r="A35" t="s">
        <v>10</v>
      </c>
      <c r="B35" s="1">
        <f t="shared" ref="B35:G35" si="18">AlgemeneHeffingsKorting2020(B33)</f>
        <v>1538.1324960000002</v>
      </c>
      <c r="C35" s="1">
        <f t="shared" si="18"/>
        <v>1630.7675999999999</v>
      </c>
      <c r="D35" s="1">
        <f t="shared" si="18"/>
        <v>1408.8108960000002</v>
      </c>
      <c r="E35" s="1">
        <f t="shared" si="18"/>
        <v>1542.2844</v>
      </c>
      <c r="F35" s="1">
        <f t="shared" si="18"/>
        <v>1630.7675999999999</v>
      </c>
      <c r="G35" s="1">
        <f t="shared" si="18"/>
        <v>1367.47336</v>
      </c>
      <c r="H35" s="1">
        <f t="shared" ref="H35:I35" si="19">AlgemeneHeffingsKorting2020(H33)</f>
        <v>0</v>
      </c>
      <c r="I35" s="1">
        <f t="shared" si="19"/>
        <v>356.64355199999994</v>
      </c>
      <c r="J35" s="1">
        <f>AlgemeneHeffingsKorting2020(J33)</f>
        <v>356.64355199999994</v>
      </c>
      <c r="K35" s="1">
        <f>AlgemeneHeffingsKorting2020(K33)</f>
        <v>0</v>
      </c>
      <c r="L35" s="1">
        <f>AlgemeneHeffingsKorting2020(L33)</f>
        <v>0</v>
      </c>
      <c r="M35" s="1">
        <f>AlgemeneHeffingsKorting2020(M33)</f>
        <v>0</v>
      </c>
    </row>
    <row r="36" spans="1:13" x14ac:dyDescent="0.25">
      <c r="A36" t="s">
        <v>6</v>
      </c>
      <c r="B36" s="1">
        <f t="shared" ref="B36:G36" si="20">ArbeidsKorting2020(B33)</f>
        <v>3432.8880000000004</v>
      </c>
      <c r="C36" s="1">
        <f t="shared" si="20"/>
        <v>3530.88</v>
      </c>
      <c r="D36" s="1">
        <f t="shared" si="20"/>
        <v>3296.0880000000002</v>
      </c>
      <c r="E36" s="1">
        <f t="shared" si="20"/>
        <v>3437.28</v>
      </c>
      <c r="F36" s="1">
        <f t="shared" si="20"/>
        <v>3530.88</v>
      </c>
      <c r="G36" s="1">
        <f t="shared" si="20"/>
        <v>3252.36</v>
      </c>
      <c r="H36" s="1">
        <f t="shared" ref="H36:I36" si="21">ArbeidsKorting2020(H33)</f>
        <v>1534.8696000000002</v>
      </c>
      <c r="I36" s="1">
        <f t="shared" si="21"/>
        <v>2183.076</v>
      </c>
      <c r="J36" s="1">
        <f>ArbeidsKorting2020(J33)</f>
        <v>2183.076</v>
      </c>
      <c r="K36" s="1">
        <f>ArbeidsKorting2020(K33)</f>
        <v>412.2600000000001</v>
      </c>
      <c r="L36" s="1">
        <f>ArbeidsKorting2020(L33)</f>
        <v>1774.6392000000005</v>
      </c>
      <c r="M36" s="1">
        <f>ArbeidsKorting2020(M33)</f>
        <v>408.72000000000014</v>
      </c>
    </row>
    <row r="37" spans="1:13" x14ac:dyDescent="0.25">
      <c r="A37" t="s">
        <v>64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f t="shared" ref="H37:M37" si="22">MIN(H28,57232)*0.0545</f>
        <v>3119.1439999999998</v>
      </c>
      <c r="I37" s="1">
        <f t="shared" si="22"/>
        <v>2742.2503400000001</v>
      </c>
      <c r="J37" s="1">
        <f t="shared" si="22"/>
        <v>2742.2503400000001</v>
      </c>
      <c r="K37" s="1">
        <f t="shared" si="22"/>
        <v>3119.1439999999998</v>
      </c>
      <c r="L37" s="1">
        <f t="shared" si="22"/>
        <v>3119.1439999999998</v>
      </c>
      <c r="M37" s="1">
        <f t="shared" si="22"/>
        <v>3119.1439999999998</v>
      </c>
    </row>
    <row r="39" spans="1:13" x14ac:dyDescent="0.25">
      <c r="A39" t="s">
        <v>9</v>
      </c>
      <c r="B39" s="1">
        <f>MAX(B34-B35-B36,0)</f>
        <v>10487.845703999998</v>
      </c>
      <c r="C39" s="1">
        <f t="shared" ref="C39:G39" si="23">MAX(C34-C35-C36,0)</f>
        <v>9687.2184000000016</v>
      </c>
      <c r="D39" s="1">
        <f t="shared" si="23"/>
        <v>11605.547303999998</v>
      </c>
      <c r="E39" s="1">
        <f t="shared" si="23"/>
        <v>10451.961599999999</v>
      </c>
      <c r="F39" s="1">
        <f t="shared" si="23"/>
        <v>9687.2184000000016</v>
      </c>
      <c r="G39" s="1">
        <f t="shared" si="23"/>
        <v>11962.819639999998</v>
      </c>
      <c r="H39" s="1">
        <f t="shared" ref="H39:M39" si="24">MAX(H34-H35-H36+H37,0)</f>
        <v>29406.858199999995</v>
      </c>
      <c r="I39" s="1">
        <f t="shared" si="24"/>
        <v>23441.476687999995</v>
      </c>
      <c r="J39" s="1">
        <f t="shared" si="24"/>
        <v>23441.476687999995</v>
      </c>
      <c r="K39" s="1">
        <f t="shared" si="24"/>
        <v>39790.996999999996</v>
      </c>
      <c r="L39" s="1">
        <f t="shared" si="24"/>
        <v>27188.989399999995</v>
      </c>
      <c r="M39" s="1">
        <f t="shared" si="24"/>
        <v>39823.741999999998</v>
      </c>
    </row>
    <row r="40" spans="1:13" x14ac:dyDescent="0.25">
      <c r="A40" t="s">
        <v>41</v>
      </c>
      <c r="B40" s="2">
        <f>B39/B33*100%</f>
        <v>0.25339570960540425</v>
      </c>
      <c r="C40" s="2">
        <f t="shared" ref="C40:G40" si="25">C39/C33*100%</f>
        <v>0.24366682764865685</v>
      </c>
      <c r="D40" s="2">
        <f t="shared" si="25"/>
        <v>0.26576047429309441</v>
      </c>
      <c r="E40" s="2">
        <f t="shared" si="25"/>
        <v>0.25297612547197207</v>
      </c>
      <c r="F40" s="2">
        <f t="shared" si="25"/>
        <v>0.24366682764865685</v>
      </c>
      <c r="G40" s="2">
        <f t="shared" si="25"/>
        <v>0.26944501193747461</v>
      </c>
      <c r="H40" s="2">
        <f>H39/H33*100%</f>
        <v>0.40270767611886904</v>
      </c>
      <c r="I40" s="2">
        <f t="shared" ref="I40:J40" si="26">I39/I33*100%</f>
        <v>0.37675510673519824</v>
      </c>
      <c r="J40" s="2">
        <f t="shared" si="26"/>
        <v>0.37675510673519824</v>
      </c>
      <c r="K40" s="2">
        <f t="shared" ref="K40:L40" si="27">K39/K33*100%</f>
        <v>0.43376971209924448</v>
      </c>
      <c r="L40" s="2">
        <f t="shared" si="27"/>
        <v>0.39389102010990529</v>
      </c>
      <c r="M40" s="2">
        <f t="shared" ref="M40" si="28">M39/M33*100%</f>
        <v>0.43384763378072161</v>
      </c>
    </row>
    <row r="41" spans="1:13" x14ac:dyDescent="0.25">
      <c r="A41" t="s">
        <v>65</v>
      </c>
      <c r="B41" s="2">
        <f>B40</f>
        <v>0.25339570960540425</v>
      </c>
      <c r="C41" s="2">
        <f>C40</f>
        <v>0.24366682764865685</v>
      </c>
      <c r="D41" s="2">
        <f t="shared" ref="D41:G41" si="29">D40</f>
        <v>0.26576047429309441</v>
      </c>
      <c r="E41" s="2">
        <f t="shared" si="29"/>
        <v>0.25297612547197207</v>
      </c>
      <c r="F41" s="2">
        <f t="shared" si="29"/>
        <v>0.24366682764865685</v>
      </c>
      <c r="G41" s="2">
        <f t="shared" si="29"/>
        <v>0.26944501193747461</v>
      </c>
      <c r="H41" s="2">
        <f t="shared" ref="H41:M41" si="30">H39/H9</f>
        <v>0.25005831802721085</v>
      </c>
      <c r="I41" s="2">
        <f t="shared" si="30"/>
        <v>0.2034850406944444</v>
      </c>
      <c r="J41" s="2">
        <f t="shared" si="30"/>
        <v>0.2034850406944444</v>
      </c>
      <c r="K41" s="2">
        <f t="shared" si="30"/>
        <v>0.33835881802721085</v>
      </c>
      <c r="L41" s="2">
        <f t="shared" si="30"/>
        <v>0.23601553298611105</v>
      </c>
      <c r="M41" s="2">
        <f t="shared" si="30"/>
        <v>0.34569220486111107</v>
      </c>
    </row>
    <row r="43" spans="1:13" x14ac:dyDescent="0.25">
      <c r="A43" t="s">
        <v>7</v>
      </c>
      <c r="B43" s="1">
        <f>B28-B34+B35+B36+B29-$B$13*12-$B$14*B34</f>
        <v>31747.467057959999</v>
      </c>
      <c r="C43" s="1">
        <f>C28-C34+C35+C36+C29-$B$13*12-$B$14*C34</f>
        <v>26759.4563628</v>
      </c>
      <c r="D43" s="1">
        <f>D28-D34+D35+D36+D29-$B$13*12-$B$14*D34</f>
        <v>32906.18882196</v>
      </c>
      <c r="E43" s="1">
        <f>E28-E34+E35+E36+E29-$B$13*12-$B$14*E34</f>
        <v>27552.265990800002</v>
      </c>
      <c r="F43" s="1">
        <f>F28-F34+F35+F36+F29-$B$13*12-$B$14*F34</f>
        <v>26759.4563628</v>
      </c>
      <c r="G43" s="1">
        <f>G28-G34+G35+G36+G29-$B$13*12-$B$14*G34-$B$12*12</f>
        <v>21476.573217400004</v>
      </c>
      <c r="H43" s="1">
        <f t="shared" ref="H43:M43" si="31">H28+H29-H34+H35+H36-H37+(H25-H28)</f>
        <v>66437.141800000012</v>
      </c>
      <c r="I43" s="1">
        <f t="shared" si="31"/>
        <v>48726.523312000005</v>
      </c>
      <c r="J43" s="1">
        <f t="shared" si="31"/>
        <v>48726.523312000005</v>
      </c>
      <c r="K43" s="1">
        <f t="shared" si="31"/>
        <v>77809.002999999997</v>
      </c>
      <c r="L43" s="1">
        <f t="shared" si="31"/>
        <v>66735.010600000009</v>
      </c>
      <c r="M43" s="1">
        <f t="shared" si="31"/>
        <v>75376.258000000002</v>
      </c>
    </row>
    <row r="44" spans="1:13" x14ac:dyDescent="0.25">
      <c r="A44" s="10" t="s">
        <v>8</v>
      </c>
      <c r="B44" s="11">
        <f t="shared" ref="B44:G44" si="32">B43/12</f>
        <v>2645.6222548299997</v>
      </c>
      <c r="C44" s="11">
        <f t="shared" si="32"/>
        <v>2229.9546968999998</v>
      </c>
      <c r="D44" s="11">
        <f t="shared" si="32"/>
        <v>2742.1824018299999</v>
      </c>
      <c r="E44" s="11">
        <f t="shared" si="32"/>
        <v>2296.0221659000003</v>
      </c>
      <c r="F44" s="11">
        <f t="shared" si="32"/>
        <v>2229.9546968999998</v>
      </c>
      <c r="G44" s="11">
        <f t="shared" si="32"/>
        <v>1789.7144347833337</v>
      </c>
      <c r="H44" s="11">
        <f t="shared" ref="H44" si="33">H43/12</f>
        <v>5536.428483333334</v>
      </c>
      <c r="I44" s="11">
        <f t="shared" ref="I44:K44" si="34">I43/12</f>
        <v>4060.5436093333337</v>
      </c>
      <c r="J44" s="11">
        <f t="shared" si="34"/>
        <v>4060.5436093333337</v>
      </c>
      <c r="K44" s="11">
        <f t="shared" si="34"/>
        <v>6484.0835833333331</v>
      </c>
      <c r="L44" s="11">
        <f t="shared" ref="L44:M44" si="35">L43/12</f>
        <v>5561.2508833333341</v>
      </c>
      <c r="M44" s="11">
        <f t="shared" si="35"/>
        <v>6281.3548333333338</v>
      </c>
    </row>
    <row r="45" spans="1:13" x14ac:dyDescent="0.25">
      <c r="A45" t="s">
        <v>19</v>
      </c>
      <c r="B45" s="1">
        <v>0</v>
      </c>
      <c r="C45" s="1">
        <f>C44-$B$44</f>
        <v>-415.66755792999993</v>
      </c>
      <c r="D45" s="1">
        <f>D44-$B$44</f>
        <v>96.560147000000143</v>
      </c>
      <c r="E45" s="1">
        <f>E44-$B$44</f>
        <v>-349.6000889299994</v>
      </c>
      <c r="F45" s="1">
        <f>F44-$B$44</f>
        <v>-415.66755792999993</v>
      </c>
      <c r="G45" s="1">
        <f>G44-$B$44</f>
        <v>-855.90782004666607</v>
      </c>
      <c r="H45" s="1">
        <f t="shared" ref="H45:I45" si="36">H44-$B$44</f>
        <v>2890.8062285033343</v>
      </c>
      <c r="I45" s="1">
        <f t="shared" si="36"/>
        <v>1414.921354503334</v>
      </c>
      <c r="J45" s="1">
        <f>J44-$B$44</f>
        <v>1414.921354503334</v>
      </c>
      <c r="K45" s="1">
        <f>K44-$B$44</f>
        <v>3838.4613285033333</v>
      </c>
      <c r="L45" s="1">
        <f>L44-$B$44</f>
        <v>2915.6286285033343</v>
      </c>
      <c r="M45" s="1">
        <f>M44-$B$44</f>
        <v>3635.732578503334</v>
      </c>
    </row>
    <row r="46" spans="1:13" x14ac:dyDescent="0.25">
      <c r="A46" t="s">
        <v>77</v>
      </c>
      <c r="B46" s="1">
        <v>0</v>
      </c>
      <c r="C46" s="1">
        <f>C45+$E$11</f>
        <v>559.58244207000007</v>
      </c>
      <c r="D46" s="1">
        <f>D45</f>
        <v>96.560147000000143</v>
      </c>
      <c r="E46" s="1">
        <f>E45+$E$11</f>
        <v>625.6499110700006</v>
      </c>
      <c r="F46" s="1">
        <f>F45+$E$11</f>
        <v>559.58244207000007</v>
      </c>
      <c r="G46" s="1">
        <f>G45+$E$11</f>
        <v>119.34217995333393</v>
      </c>
      <c r="H46" s="1">
        <f>H44-E11</f>
        <v>4561.178483333334</v>
      </c>
      <c r="I46" s="1">
        <f>I44</f>
        <v>4060.5436093333337</v>
      </c>
      <c r="J46" s="1">
        <f>J44</f>
        <v>4060.5436093333337</v>
      </c>
      <c r="K46" s="1">
        <f>K44</f>
        <v>6484.0835833333331</v>
      </c>
      <c r="L46" s="1">
        <f>L44</f>
        <v>5561.2508833333341</v>
      </c>
      <c r="M46" s="1">
        <f>M44</f>
        <v>6281.3548333333338</v>
      </c>
    </row>
  </sheetData>
  <hyperlinks>
    <hyperlink ref="N13" r:id="rId1" xr:uid="{1740AE74-4939-450D-BED9-49F6275C94D3}"/>
    <hyperlink ref="N11" r:id="rId2" xr:uid="{B46B558D-B809-4319-9D52-48198F7542C1}"/>
    <hyperlink ref="N18" r:id="rId3" xr:uid="{8058F0E7-604D-408D-A090-5393FC0F9742}"/>
    <hyperlink ref="N17" r:id="rId4" xr:uid="{7A937AE5-187A-4396-B542-075AF095BC72}"/>
  </hyperlinks>
  <pageMargins left="0.7" right="0.7" top="0.75" bottom="0.75" header="0.3" footer="0.3"/>
  <pageSetup orientation="portrait" r:id="rId5"/>
  <ignoredErrors>
    <ignoredError sqref="D4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8CE5-5D4D-4DC1-8F8E-7D57922AD0A0}">
  <dimension ref="A1:I76"/>
  <sheetViews>
    <sheetView tabSelected="1" topLeftCell="A55" workbookViewId="0">
      <selection activeCell="A77" sqref="A77"/>
    </sheetView>
  </sheetViews>
  <sheetFormatPr defaultRowHeight="15" x14ac:dyDescent="0.25"/>
  <cols>
    <col min="1" max="1" width="16.85546875" customWidth="1"/>
    <col min="2" max="2" width="13.85546875" customWidth="1"/>
    <col min="3" max="3" width="26.42578125" customWidth="1"/>
    <col min="4" max="4" width="16.28515625" customWidth="1"/>
    <col min="5" max="5" width="12.7109375" customWidth="1"/>
    <col min="6" max="6" width="29.28515625" customWidth="1"/>
    <col min="7" max="7" width="22.85546875" bestFit="1" customWidth="1"/>
    <col min="8" max="8" width="23.140625" bestFit="1" customWidth="1"/>
    <col min="9" max="9" width="27.140625" bestFit="1" customWidth="1"/>
  </cols>
  <sheetData>
    <row r="1" spans="1:9" x14ac:dyDescent="0.25">
      <c r="A1" t="s">
        <v>79</v>
      </c>
      <c r="B1" t="s">
        <v>5</v>
      </c>
      <c r="C1" t="s">
        <v>80</v>
      </c>
      <c r="D1" t="s">
        <v>6</v>
      </c>
      <c r="E1" t="s">
        <v>81</v>
      </c>
      <c r="F1" t="s">
        <v>41</v>
      </c>
      <c r="G1" t="s">
        <v>83</v>
      </c>
      <c r="H1" t="s">
        <v>82</v>
      </c>
      <c r="I1" t="s">
        <v>84</v>
      </c>
    </row>
    <row r="2" spans="1:9" x14ac:dyDescent="0.25">
      <c r="A2" s="14">
        <v>19902</v>
      </c>
      <c r="B2" s="14">
        <f>LoonHeffing2020(Table1[[#This Row],[Belastbaar loon]])</f>
        <v>7433.3969999999999</v>
      </c>
      <c r="C2" s="14">
        <f>AlgemeneHeffingsKorting2020(Table1[[#This Row],[Belastbaar loon]])</f>
        <v>2711</v>
      </c>
      <c r="D2" s="14">
        <f>ArbeidsKorting2020(Table1[[#This Row],[Belastbaar loon]])</f>
        <v>4722.12</v>
      </c>
      <c r="E2" s="14">
        <f>MIN(Table1[[#This Row],[Belastbaar loon]]-Table1[[#This Row],[Loonheffing]]+Table1[[#This Row],[Algemene Heffingskorting]]+Table1[[#This Row],[Arbeidskorting]],Table1[[#This Row],[Belastbaar loon]])</f>
        <v>19901.722999999998</v>
      </c>
      <c r="F2" s="15">
        <f>(Table1[[#This Row],[Belastbaar loon]]-Table1[[#This Row],[Netto loon]])/Table1[[#This Row],[Belastbaar loon]]</f>
        <v>1.3918199176055805E-5</v>
      </c>
      <c r="G2" s="14">
        <v>0</v>
      </c>
      <c r="H2" s="14">
        <v>0</v>
      </c>
      <c r="I2" s="15">
        <f>(Table1[[#This Row],[Bruto tov vorige schijf]]-Table1[[#This Row],[Netto tov vorige schijf]])/MAX(Table1[[#This Row],[Bruto tov vorige schijf]],1)</f>
        <v>0</v>
      </c>
    </row>
    <row r="3" spans="1:9" x14ac:dyDescent="0.25">
      <c r="A3" s="6">
        <f>ROUND(($A$8-$A$2)/(ROW($A$8)-ROW($A$2))*(ROW()-ROW($A$2))+$A$2,0)</f>
        <v>20037</v>
      </c>
      <c r="B3" s="6">
        <f>LoonHeffing2020(Table1[[#This Row],[Belastbaar loon]])</f>
        <v>7483.8194999999996</v>
      </c>
      <c r="C3" s="6">
        <f>AlgemeneHeffingsKorting2020(Table1[[#This Row],[Belastbaar loon]])</f>
        <v>2711</v>
      </c>
      <c r="D3" s="6">
        <f>ArbeidsKorting2020(Table1[[#This Row],[Belastbaar loon]])</f>
        <v>4714.0199999999995</v>
      </c>
      <c r="E3" s="6">
        <f>MIN(Table1[[#This Row],[Belastbaar loon]]-Table1[[#This Row],[Loonheffing]]+Table1[[#This Row],[Algemene Heffingskorting]]+Table1[[#This Row],[Arbeidskorting]],Table1[[#This Row],[Belastbaar loon]])</f>
        <v>19978.200499999999</v>
      </c>
      <c r="F3" s="2">
        <f>(Table1[[#This Row],[Belastbaar loon]]-Table1[[#This Row],[Netto loon]])/Table1[[#This Row],[Belastbaar loon]]</f>
        <v>2.9345460897340415E-3</v>
      </c>
      <c r="G3" s="6">
        <f>Table1[[#This Row],[Belastbaar loon]]-$A$2</f>
        <v>135</v>
      </c>
      <c r="H3" s="16">
        <f>Table1[[#This Row],[Netto loon]]-$E$2</f>
        <v>76.477500000000873</v>
      </c>
      <c r="I3" s="2">
        <f>(Table1[[#This Row],[Bruto tov vorige schijf]]-Table1[[#This Row],[Netto tov vorige schijf]])/MAX(Table1[[#This Row],[Bruto tov vorige schijf]],1)</f>
        <v>0.43349999999999356</v>
      </c>
    </row>
    <row r="4" spans="1:9" x14ac:dyDescent="0.25">
      <c r="A4" s="6">
        <f t="shared" ref="A4:A7" si="0">ROUND(($A$8-$A$2)/(ROW($A$8)-ROW($A$2))*(ROW()-ROW($A$2))+$A$2,0)</f>
        <v>20172</v>
      </c>
      <c r="B4" s="6">
        <f>LoonHeffing2020(Table1[[#This Row],[Belastbaar loon]])</f>
        <v>7534.2420000000002</v>
      </c>
      <c r="C4" s="6">
        <f>AlgemeneHeffingsKorting2020(Table1[[#This Row],[Belastbaar loon]])</f>
        <v>2711</v>
      </c>
      <c r="D4" s="6">
        <f>ArbeidsKorting2020(Table1[[#This Row],[Belastbaar loon]])</f>
        <v>4705.92</v>
      </c>
      <c r="E4" s="6">
        <f>MIN(Table1[[#This Row],[Belastbaar loon]]-Table1[[#This Row],[Loonheffing]]+Table1[[#This Row],[Algemene Heffingskorting]]+Table1[[#This Row],[Arbeidskorting]],Table1[[#This Row],[Belastbaar loon]])</f>
        <v>20054.678</v>
      </c>
      <c r="F4" s="2">
        <f>(Table1[[#This Row],[Belastbaar loon]]-Table1[[#This Row],[Netto loon]])/Table1[[#This Row],[Belastbaar loon]]</f>
        <v>5.8160816974023458E-3</v>
      </c>
      <c r="G4" s="6">
        <f>Table1[[#This Row],[Belastbaar loon]]-$A$2</f>
        <v>270</v>
      </c>
      <c r="H4" s="16">
        <f>Table1[[#This Row],[Netto loon]]-$E$2</f>
        <v>152.95500000000175</v>
      </c>
      <c r="I4" s="2">
        <f>(Table1[[#This Row],[Bruto tov vorige schijf]]-Table1[[#This Row],[Netto tov vorige schijf]])/MAX(Table1[[#This Row],[Bruto tov vorige schijf]],1)</f>
        <v>0.43349999999999356</v>
      </c>
    </row>
    <row r="5" spans="1:9" x14ac:dyDescent="0.25">
      <c r="A5" s="6">
        <f t="shared" si="0"/>
        <v>20307</v>
      </c>
      <c r="B5" s="6">
        <f>LoonHeffing2020(Table1[[#This Row],[Belastbaar loon]])</f>
        <v>7584.6644999999999</v>
      </c>
      <c r="C5" s="6">
        <f>AlgemeneHeffingsKorting2020(Table1[[#This Row],[Belastbaar loon]])</f>
        <v>2711</v>
      </c>
      <c r="D5" s="6">
        <f>ArbeidsKorting2020(Table1[[#This Row],[Belastbaar loon]])</f>
        <v>4697.82</v>
      </c>
      <c r="E5" s="6">
        <f>MIN(Table1[[#This Row],[Belastbaar loon]]-Table1[[#This Row],[Loonheffing]]+Table1[[#This Row],[Algemene Heffingskorting]]+Table1[[#This Row],[Arbeidskorting]],Table1[[#This Row],[Belastbaar loon]])</f>
        <v>20131.155500000001</v>
      </c>
      <c r="F5" s="2">
        <f>(Table1[[#This Row],[Belastbaar loon]]-Table1[[#This Row],[Netto loon]])/Table1[[#This Row],[Belastbaar loon]]</f>
        <v>8.6593046732653389E-3</v>
      </c>
      <c r="G5" s="6">
        <f>Table1[[#This Row],[Belastbaar loon]]-$A$2</f>
        <v>405</v>
      </c>
      <c r="H5" s="16">
        <f>Table1[[#This Row],[Netto loon]]-$E$2</f>
        <v>229.43250000000262</v>
      </c>
      <c r="I5" s="2">
        <f>(Table1[[#This Row],[Bruto tov vorige schijf]]-Table1[[#This Row],[Netto tov vorige schijf]])/MAX(Table1[[#This Row],[Bruto tov vorige schijf]],1)</f>
        <v>0.43349999999999356</v>
      </c>
    </row>
    <row r="6" spans="1:9" x14ac:dyDescent="0.25">
      <c r="A6" s="6">
        <f t="shared" si="0"/>
        <v>20441</v>
      </c>
      <c r="B6" s="6">
        <f>LoonHeffing2020(Table1[[#This Row],[Belastbaar loon]])</f>
        <v>7634.7134999999998</v>
      </c>
      <c r="C6" s="6">
        <f>AlgemeneHeffingsKorting2020(Table1[[#This Row],[Belastbaar loon]])</f>
        <v>2711</v>
      </c>
      <c r="D6" s="6">
        <f>ArbeidsKorting2020(Table1[[#This Row],[Belastbaar loon]])</f>
        <v>4689.78</v>
      </c>
      <c r="E6" s="6">
        <f>MIN(Table1[[#This Row],[Belastbaar loon]]-Table1[[#This Row],[Loonheffing]]+Table1[[#This Row],[Algemene Heffingskorting]]+Table1[[#This Row],[Arbeidskorting]],Table1[[#This Row],[Belastbaar loon]])</f>
        <v>20207.066500000001</v>
      </c>
      <c r="F6" s="2">
        <f>(Table1[[#This Row],[Belastbaar loon]]-Table1[[#This Row],[Netto loon]])/Table1[[#This Row],[Belastbaar loon]]</f>
        <v>1.1444327576928683E-2</v>
      </c>
      <c r="G6" s="6">
        <f>Table1[[#This Row],[Belastbaar loon]]-$A$2</f>
        <v>539</v>
      </c>
      <c r="H6" s="16">
        <f>Table1[[#This Row],[Netto loon]]-$E$2</f>
        <v>305.34350000000268</v>
      </c>
      <c r="I6" s="2">
        <f>(Table1[[#This Row],[Bruto tov vorige schijf]]-Table1[[#This Row],[Netto tov vorige schijf]])/MAX(Table1[[#This Row],[Bruto tov vorige schijf]],1)</f>
        <v>0.43349999999999506</v>
      </c>
    </row>
    <row r="7" spans="1:9" x14ac:dyDescent="0.25">
      <c r="A7" s="6">
        <f t="shared" si="0"/>
        <v>20576</v>
      </c>
      <c r="B7" s="6">
        <f>LoonHeffing2020(Table1[[#This Row],[Belastbaar loon]])</f>
        <v>7685.1360000000004</v>
      </c>
      <c r="C7" s="6">
        <f>AlgemeneHeffingsKorting2020(Table1[[#This Row],[Belastbaar loon]])</f>
        <v>2711</v>
      </c>
      <c r="D7" s="6">
        <f>ArbeidsKorting2020(Table1[[#This Row],[Belastbaar loon]])</f>
        <v>4681.68</v>
      </c>
      <c r="E7" s="6">
        <f>MIN(Table1[[#This Row],[Belastbaar loon]]-Table1[[#This Row],[Loonheffing]]+Table1[[#This Row],[Algemene Heffingskorting]]+Table1[[#This Row],[Arbeidskorting]],Table1[[#This Row],[Belastbaar loon]])</f>
        <v>20283.544000000002</v>
      </c>
      <c r="F7" s="2">
        <f>(Table1[[#This Row],[Belastbaar loon]]-Table1[[#This Row],[Netto loon]])/Table1[[#This Row],[Belastbaar loon]]</f>
        <v>1.4213452566096341E-2</v>
      </c>
      <c r="G7" s="6">
        <f>Table1[[#This Row],[Belastbaar loon]]-$A$2</f>
        <v>674</v>
      </c>
      <c r="H7" s="16">
        <f>Table1[[#This Row],[Netto loon]]-$E$2</f>
        <v>381.82100000000355</v>
      </c>
      <c r="I7" s="2">
        <f>(Table1[[#This Row],[Bruto tov vorige schijf]]-Table1[[#This Row],[Netto tov vorige schijf]])/MAX(Table1[[#This Row],[Bruto tov vorige schijf]],1)</f>
        <v>0.43349999999999472</v>
      </c>
    </row>
    <row r="8" spans="1:9" x14ac:dyDescent="0.25">
      <c r="A8" s="14">
        <v>20711</v>
      </c>
      <c r="B8" s="14">
        <f>LoonHeffing2020(Table1[[#This Row],[Belastbaar loon]])</f>
        <v>7735.5585000000001</v>
      </c>
      <c r="C8" s="14">
        <f>AlgemeneHeffingsKorting2020(Table1[[#This Row],[Belastbaar loon]])</f>
        <v>2711</v>
      </c>
      <c r="D8" s="14">
        <f>ArbeidsKorting2020(Table1[[#This Row],[Belastbaar loon]])</f>
        <v>4673.58</v>
      </c>
      <c r="E8" s="14">
        <f>MIN(Table1[[#This Row],[Belastbaar loon]]-Table1[[#This Row],[Loonheffing]]+Table1[[#This Row],[Algemene Heffingskorting]]+Table1[[#This Row],[Arbeidskorting]],Table1[[#This Row],[Belastbaar loon]])</f>
        <v>20360.021500000003</v>
      </c>
      <c r="F8" s="15">
        <f>(Table1[[#This Row],[Belastbaar loon]]-Table1[[#This Row],[Netto loon]])/Table1[[#This Row],[Belastbaar loon]]</f>
        <v>1.694647771715501E-2</v>
      </c>
      <c r="G8" s="14">
        <f>Table1[[#This Row],[Belastbaar loon]]-$A$2</f>
        <v>809</v>
      </c>
      <c r="H8" s="14">
        <f>Table1[[#This Row],[Netto loon]]-$E$2</f>
        <v>458.29850000000442</v>
      </c>
      <c r="I8" s="15">
        <f>(Table1[[#This Row],[Bruto tov vorige schijf]]-Table1[[#This Row],[Netto tov vorige schijf]])/MAX(Table1[[#This Row],[Bruto tov vorige schijf]],1)</f>
        <v>0.43349999999999456</v>
      </c>
    </row>
    <row r="9" spans="1:9" x14ac:dyDescent="0.25">
      <c r="A9" s="6">
        <f>ROUND(($A$19-$A$8)/(ROW($A$19)-ROW($A$8))*(ROW()-ROW($A$8))+$A$8,0)</f>
        <v>22006</v>
      </c>
      <c r="B9" s="6">
        <f>LoonHeffing2020(Table1[[#This Row],[Belastbaar loon]])</f>
        <v>8219.241</v>
      </c>
      <c r="C9" s="6">
        <f>AlgemeneHeffingsKorting2020(Table1[[#This Row],[Belastbaar loon]])</f>
        <v>2637.5475999999999</v>
      </c>
      <c r="D9" s="6">
        <f>ArbeidsKorting2020(Table1[[#This Row],[Belastbaar loon]])</f>
        <v>4595.88</v>
      </c>
      <c r="E9" s="6">
        <f>MIN(Table1[[#This Row],[Belastbaar loon]]-Table1[[#This Row],[Loonheffing]]+Table1[[#This Row],[Algemene Heffingskorting]]+Table1[[#This Row],[Arbeidskorting]],Table1[[#This Row],[Belastbaar loon]])</f>
        <v>21020.186600000001</v>
      </c>
      <c r="F9" s="2">
        <f>(Table1[[#This Row],[Belastbaar loon]]-Table1[[#This Row],[Netto loon]])/Table1[[#This Row],[Belastbaar loon]]</f>
        <v>4.4797482504771384E-2</v>
      </c>
      <c r="G9" s="16">
        <f>Table1[[#This Row],[Belastbaar loon]]-$A$8</f>
        <v>1295</v>
      </c>
      <c r="H9" s="16">
        <f>Table1[[#This Row],[Netto loon]]-$E$8</f>
        <v>660.16509999999835</v>
      </c>
      <c r="I9" s="2">
        <f>(Table1[[#This Row],[Bruto tov vorige schijf]]-Table1[[#This Row],[Netto tov vorige schijf]])/MAX(Table1[[#This Row],[Bruto tov vorige schijf]],1)</f>
        <v>0.49022000000000127</v>
      </c>
    </row>
    <row r="10" spans="1:9" x14ac:dyDescent="0.25">
      <c r="A10" s="6">
        <f t="shared" ref="A10:A18" si="1">ROUND(($A$19-$A$8)/(ROW($A$19)-ROW($A$8))*(ROW()-ROW($A$8))+$A$8,0)</f>
        <v>23301</v>
      </c>
      <c r="B10" s="6">
        <f>LoonHeffing2020(Table1[[#This Row],[Belastbaar loon]])</f>
        <v>8702.9235000000008</v>
      </c>
      <c r="C10" s="6">
        <f>AlgemeneHeffingsKorting2020(Table1[[#This Row],[Belastbaar loon]])</f>
        <v>2564.0952000000002</v>
      </c>
      <c r="D10" s="6">
        <f>ArbeidsKorting2020(Table1[[#This Row],[Belastbaar loon]])</f>
        <v>4518.18</v>
      </c>
      <c r="E10" s="6">
        <f>MIN(Table1[[#This Row],[Belastbaar loon]]-Table1[[#This Row],[Loonheffing]]+Table1[[#This Row],[Algemene Heffingskorting]]+Table1[[#This Row],[Arbeidskorting]],Table1[[#This Row],[Belastbaar loon]])</f>
        <v>21680.351699999999</v>
      </c>
      <c r="F10" s="2">
        <f>(Table1[[#This Row],[Belastbaar loon]]-Table1[[#This Row],[Netto loon]])/Table1[[#This Row],[Belastbaar loon]]</f>
        <v>6.9552735934080109E-2</v>
      </c>
      <c r="G10" s="16">
        <f>Table1[[#This Row],[Belastbaar loon]]-$A$8</f>
        <v>2590</v>
      </c>
      <c r="H10" s="16">
        <f>Table1[[#This Row],[Netto loon]]-$E$8</f>
        <v>1320.3301999999967</v>
      </c>
      <c r="I10" s="2">
        <f>(Table1[[#This Row],[Bruto tov vorige schijf]]-Table1[[#This Row],[Netto tov vorige schijf]])/MAX(Table1[[#This Row],[Bruto tov vorige schijf]],1)</f>
        <v>0.49022000000000127</v>
      </c>
    </row>
    <row r="11" spans="1:9" x14ac:dyDescent="0.25">
      <c r="A11" s="6">
        <f t="shared" si="1"/>
        <v>24595</v>
      </c>
      <c r="B11" s="6">
        <f>LoonHeffing2020(Table1[[#This Row],[Belastbaar loon]])</f>
        <v>9186.2325000000001</v>
      </c>
      <c r="C11" s="6">
        <f>AlgemeneHeffingsKorting2020(Table1[[#This Row],[Belastbaar loon]])</f>
        <v>2490.6995200000001</v>
      </c>
      <c r="D11" s="6">
        <f>ArbeidsKorting2020(Table1[[#This Row],[Belastbaar loon]])</f>
        <v>4440.54</v>
      </c>
      <c r="E11" s="6">
        <f>MIN(Table1[[#This Row],[Belastbaar loon]]-Table1[[#This Row],[Loonheffing]]+Table1[[#This Row],[Algemene Heffingskorting]]+Table1[[#This Row],[Arbeidskorting]],Table1[[#This Row],[Belastbaar loon]])</f>
        <v>22340.007020000001</v>
      </c>
      <c r="F11" s="2">
        <f>(Table1[[#This Row],[Belastbaar loon]]-Table1[[#This Row],[Netto loon]])/Table1[[#This Row],[Belastbaar loon]]</f>
        <v>9.1685016466761499E-2</v>
      </c>
      <c r="G11" s="16">
        <f>Table1[[#This Row],[Belastbaar loon]]-$A$8</f>
        <v>3884</v>
      </c>
      <c r="H11" s="16">
        <f>Table1[[#This Row],[Netto loon]]-$E$8</f>
        <v>1979.9855199999984</v>
      </c>
      <c r="I11" s="2">
        <f>(Table1[[#This Row],[Bruto tov vorige schijf]]-Table1[[#This Row],[Netto tov vorige schijf]])/MAX(Table1[[#This Row],[Bruto tov vorige schijf]],1)</f>
        <v>0.49022000000000043</v>
      </c>
    </row>
    <row r="12" spans="1:9" x14ac:dyDescent="0.25">
      <c r="A12" s="6">
        <f t="shared" si="1"/>
        <v>25890</v>
      </c>
      <c r="B12" s="6">
        <f>LoonHeffing2020(Table1[[#This Row],[Belastbaar loon]])</f>
        <v>9669.9150000000009</v>
      </c>
      <c r="C12" s="6">
        <f>AlgemeneHeffingsKorting2020(Table1[[#This Row],[Belastbaar loon]])</f>
        <v>2417.24712</v>
      </c>
      <c r="D12" s="6">
        <f>ArbeidsKorting2020(Table1[[#This Row],[Belastbaar loon]])</f>
        <v>4362.84</v>
      </c>
      <c r="E12" s="6">
        <f>MIN(Table1[[#This Row],[Belastbaar loon]]-Table1[[#This Row],[Loonheffing]]+Table1[[#This Row],[Algemene Heffingskorting]]+Table1[[#This Row],[Arbeidskorting]],Table1[[#This Row],[Belastbaar loon]])</f>
        <v>23000.172119999999</v>
      </c>
      <c r="F12" s="2">
        <f>(Table1[[#This Row],[Belastbaar loon]]-Table1[[#This Row],[Netto loon]])/Table1[[#This Row],[Belastbaar loon]]</f>
        <v>0.1116194623406721</v>
      </c>
      <c r="G12" s="16">
        <f>Table1[[#This Row],[Belastbaar loon]]-$A$8</f>
        <v>5179</v>
      </c>
      <c r="H12" s="16">
        <f>Table1[[#This Row],[Netto loon]]-$E$8</f>
        <v>2640.1506199999967</v>
      </c>
      <c r="I12" s="2">
        <f>(Table1[[#This Row],[Bruto tov vorige schijf]]-Table1[[#This Row],[Netto tov vorige schijf]])/MAX(Table1[[#This Row],[Bruto tov vorige schijf]],1)</f>
        <v>0.49022000000000066</v>
      </c>
    </row>
    <row r="13" spans="1:9" x14ac:dyDescent="0.25">
      <c r="A13" s="6">
        <f t="shared" si="1"/>
        <v>27185</v>
      </c>
      <c r="B13" s="6">
        <f>LoonHeffing2020(Table1[[#This Row],[Belastbaar loon]])</f>
        <v>10153.5975</v>
      </c>
      <c r="C13" s="6">
        <f>AlgemeneHeffingsKorting2020(Table1[[#This Row],[Belastbaar loon]])</f>
        <v>2343.7947199999999</v>
      </c>
      <c r="D13" s="6">
        <f>ArbeidsKorting2020(Table1[[#This Row],[Belastbaar loon]])</f>
        <v>4285.1400000000003</v>
      </c>
      <c r="E13" s="6">
        <f>MIN(Table1[[#This Row],[Belastbaar loon]]-Table1[[#This Row],[Loonheffing]]+Table1[[#This Row],[Algemene Heffingskorting]]+Table1[[#This Row],[Arbeidskorting]],Table1[[#This Row],[Belastbaar loon]])</f>
        <v>23660.337220000001</v>
      </c>
      <c r="F13" s="2">
        <f>(Table1[[#This Row],[Belastbaar loon]]-Table1[[#This Row],[Netto loon]])/Table1[[#This Row],[Belastbaar loon]]</f>
        <v>0.12965469118999443</v>
      </c>
      <c r="G13" s="16">
        <f>Table1[[#This Row],[Belastbaar loon]]-$A$8</f>
        <v>6474</v>
      </c>
      <c r="H13" s="16">
        <f>Table1[[#This Row],[Netto loon]]-$E$8</f>
        <v>3300.3157199999987</v>
      </c>
      <c r="I13" s="2">
        <f>(Table1[[#This Row],[Bruto tov vorige schijf]]-Table1[[#This Row],[Netto tov vorige schijf]])/MAX(Table1[[#This Row],[Bruto tov vorige schijf]],1)</f>
        <v>0.49022000000000021</v>
      </c>
    </row>
    <row r="14" spans="1:9" x14ac:dyDescent="0.25">
      <c r="A14" s="6">
        <f t="shared" si="1"/>
        <v>28480</v>
      </c>
      <c r="B14" s="6">
        <f>LoonHeffing2020(Table1[[#This Row],[Belastbaar loon]])</f>
        <v>10637.28</v>
      </c>
      <c r="C14" s="6">
        <f>AlgemeneHeffingsKorting2020(Table1[[#This Row],[Belastbaar loon]])</f>
        <v>2270.3423200000002</v>
      </c>
      <c r="D14" s="6">
        <f>ArbeidsKorting2020(Table1[[#This Row],[Belastbaar loon]])</f>
        <v>4207.4399999999996</v>
      </c>
      <c r="E14" s="6">
        <f>MIN(Table1[[#This Row],[Belastbaar loon]]-Table1[[#This Row],[Loonheffing]]+Table1[[#This Row],[Algemene Heffingskorting]]+Table1[[#This Row],[Arbeidskorting]],Table1[[#This Row],[Belastbaar loon]])</f>
        <v>24320.50232</v>
      </c>
      <c r="F14" s="2">
        <f>(Table1[[#This Row],[Belastbaar loon]]-Table1[[#This Row],[Netto loon]])/Table1[[#This Row],[Belastbaar loon]]</f>
        <v>0.14604977808988764</v>
      </c>
      <c r="G14" s="16">
        <f>Table1[[#This Row],[Belastbaar loon]]-$A$8</f>
        <v>7769</v>
      </c>
      <c r="H14" s="16">
        <f>Table1[[#This Row],[Netto loon]]-$E$8</f>
        <v>3960.480819999997</v>
      </c>
      <c r="I14" s="2">
        <f>(Table1[[#This Row],[Bruto tov vorige schijf]]-Table1[[#This Row],[Netto tov vorige schijf]])/MAX(Table1[[#This Row],[Bruto tov vorige schijf]],1)</f>
        <v>0.49022000000000038</v>
      </c>
    </row>
    <row r="15" spans="1:9" x14ac:dyDescent="0.25">
      <c r="A15" s="6">
        <f t="shared" si="1"/>
        <v>29775</v>
      </c>
      <c r="B15" s="6">
        <f>LoonHeffing2020(Table1[[#This Row],[Belastbaar loon]])</f>
        <v>11120.9625</v>
      </c>
      <c r="C15" s="6">
        <f>AlgemeneHeffingsKorting2020(Table1[[#This Row],[Belastbaar loon]])</f>
        <v>2196.8899200000001</v>
      </c>
      <c r="D15" s="6">
        <f>ArbeidsKorting2020(Table1[[#This Row],[Belastbaar loon]])</f>
        <v>4129.74</v>
      </c>
      <c r="E15" s="6">
        <f>MIN(Table1[[#This Row],[Belastbaar loon]]-Table1[[#This Row],[Loonheffing]]+Table1[[#This Row],[Algemene Heffingskorting]]+Table1[[#This Row],[Arbeidskorting]],Table1[[#This Row],[Belastbaar loon]])</f>
        <v>24980.667419999998</v>
      </c>
      <c r="F15" s="2">
        <f>(Table1[[#This Row],[Belastbaar loon]]-Table1[[#This Row],[Netto loon]])/Table1[[#This Row],[Belastbaar loon]]</f>
        <v>0.16101872644836279</v>
      </c>
      <c r="G15" s="16">
        <f>Table1[[#This Row],[Belastbaar loon]]-$A$8</f>
        <v>9064</v>
      </c>
      <c r="H15" s="16">
        <f>Table1[[#This Row],[Netto loon]]-$E$8</f>
        <v>4620.6459199999954</v>
      </c>
      <c r="I15" s="2">
        <f>(Table1[[#This Row],[Bruto tov vorige schijf]]-Table1[[#This Row],[Netto tov vorige schijf]])/MAX(Table1[[#This Row],[Bruto tov vorige schijf]],1)</f>
        <v>0.49022000000000049</v>
      </c>
    </row>
    <row r="16" spans="1:9" x14ac:dyDescent="0.25">
      <c r="A16" s="6">
        <f t="shared" si="1"/>
        <v>31070</v>
      </c>
      <c r="B16" s="6">
        <f>LoonHeffing2020(Table1[[#This Row],[Belastbaar loon]])</f>
        <v>11604.645</v>
      </c>
      <c r="C16" s="6">
        <f>AlgemeneHeffingsKorting2020(Table1[[#This Row],[Belastbaar loon]])</f>
        <v>2123.4375199999999</v>
      </c>
      <c r="D16" s="6">
        <f>ArbeidsKorting2020(Table1[[#This Row],[Belastbaar loon]])</f>
        <v>4052.04</v>
      </c>
      <c r="E16" s="6">
        <f>MIN(Table1[[#This Row],[Belastbaar loon]]-Table1[[#This Row],[Loonheffing]]+Table1[[#This Row],[Algemene Heffingskorting]]+Table1[[#This Row],[Arbeidskorting]],Table1[[#This Row],[Belastbaar loon]])</f>
        <v>25640.83252</v>
      </c>
      <c r="F16" s="2">
        <f>(Table1[[#This Row],[Belastbaar loon]]-Table1[[#This Row],[Netto loon]])/Table1[[#This Row],[Belastbaar loon]]</f>
        <v>0.17473986095912455</v>
      </c>
      <c r="G16" s="16">
        <f>Table1[[#This Row],[Belastbaar loon]]-$A$8</f>
        <v>10359</v>
      </c>
      <c r="H16" s="16">
        <f>Table1[[#This Row],[Netto loon]]-$E$8</f>
        <v>5280.8110199999974</v>
      </c>
      <c r="I16" s="2">
        <f>(Table1[[#This Row],[Bruto tov vorige schijf]]-Table1[[#This Row],[Netto tov vorige schijf]])/MAX(Table1[[#This Row],[Bruto tov vorige schijf]],1)</f>
        <v>0.49022000000000027</v>
      </c>
    </row>
    <row r="17" spans="1:9" x14ac:dyDescent="0.25">
      <c r="A17" s="6">
        <f t="shared" si="1"/>
        <v>32364</v>
      </c>
      <c r="B17" s="6">
        <f>LoonHeffing2020(Table1[[#This Row],[Belastbaar loon]])</f>
        <v>12087.954</v>
      </c>
      <c r="C17" s="6">
        <f>AlgemeneHeffingsKorting2020(Table1[[#This Row],[Belastbaar loon]])</f>
        <v>2050.0418399999999</v>
      </c>
      <c r="D17" s="6">
        <f>ArbeidsKorting2020(Table1[[#This Row],[Belastbaar loon]])</f>
        <v>3974.4</v>
      </c>
      <c r="E17" s="6">
        <f>MIN(Table1[[#This Row],[Belastbaar loon]]-Table1[[#This Row],[Loonheffing]]+Table1[[#This Row],[Algemene Heffingskorting]]+Table1[[#This Row],[Arbeidskorting]],Table1[[#This Row],[Belastbaar loon]])</f>
        <v>26300.487840000002</v>
      </c>
      <c r="F17" s="2">
        <f>(Table1[[#This Row],[Belastbaar loon]]-Table1[[#This Row],[Netto loon]])/Table1[[#This Row],[Belastbaar loon]]</f>
        <v>0.18735360771227286</v>
      </c>
      <c r="G17" s="16">
        <f>Table1[[#This Row],[Belastbaar loon]]-$A$8</f>
        <v>11653</v>
      </c>
      <c r="H17" s="16">
        <f>Table1[[#This Row],[Netto loon]]-$E$8</f>
        <v>5940.466339999999</v>
      </c>
      <c r="I17" s="2">
        <f>(Table1[[#This Row],[Bruto tov vorige schijf]]-Table1[[#This Row],[Netto tov vorige schijf]])/MAX(Table1[[#This Row],[Bruto tov vorige schijf]],1)</f>
        <v>0.4902200000000001</v>
      </c>
    </row>
    <row r="18" spans="1:9" x14ac:dyDescent="0.25">
      <c r="A18" s="6">
        <f>ROUND(($A$19-$A$8)/(ROW($A$19)-ROW($A$8))*(ROW()-ROW($A$8))+$A$8,0)</f>
        <v>33659</v>
      </c>
      <c r="B18" s="6">
        <f>LoonHeffing2020(Table1[[#This Row],[Belastbaar loon]])</f>
        <v>12571.636500000001</v>
      </c>
      <c r="C18" s="6">
        <f>AlgemeneHeffingsKorting2020(Table1[[#This Row],[Belastbaar loon]])</f>
        <v>1976.58944</v>
      </c>
      <c r="D18" s="6">
        <f>ArbeidsKorting2020(Table1[[#This Row],[Belastbaar loon]])</f>
        <v>3896.7</v>
      </c>
      <c r="E18" s="6">
        <f>MIN(Table1[[#This Row],[Belastbaar loon]]-Table1[[#This Row],[Loonheffing]]+Table1[[#This Row],[Algemene Heffingskorting]]+Table1[[#This Row],[Arbeidskorting]],Table1[[#This Row],[Belastbaar loon]])</f>
        <v>26960.65294</v>
      </c>
      <c r="F18" s="2">
        <f>(Table1[[#This Row],[Belastbaar loon]]-Table1[[#This Row],[Netto loon]])/Table1[[#This Row],[Belastbaar loon]]</f>
        <v>0.19900612198817552</v>
      </c>
      <c r="G18" s="16">
        <f>Table1[[#This Row],[Belastbaar loon]]-$A$8</f>
        <v>12948</v>
      </c>
      <c r="H18" s="16">
        <f>Table1[[#This Row],[Netto loon]]-$E$8</f>
        <v>6600.6314399999974</v>
      </c>
      <c r="I18" s="2">
        <f>(Table1[[#This Row],[Bruto tov vorige schijf]]-Table1[[#This Row],[Netto tov vorige schijf]])/MAX(Table1[[#This Row],[Bruto tov vorige schijf]],1)</f>
        <v>0.49022000000000021</v>
      </c>
    </row>
    <row r="19" spans="1:9" x14ac:dyDescent="0.25">
      <c r="A19" s="14">
        <v>34954</v>
      </c>
      <c r="B19" s="14">
        <f>LoonHeffing2020(Table1[[#This Row],[Belastbaar loon]])</f>
        <v>13055.319</v>
      </c>
      <c r="C19" s="14">
        <f>AlgemeneHeffingsKorting2020(Table1[[#This Row],[Belastbaar loon]])</f>
        <v>1903.1370400000001</v>
      </c>
      <c r="D19" s="14">
        <f>ArbeidsKorting2020(Table1[[#This Row],[Belastbaar loon]])</f>
        <v>3819</v>
      </c>
      <c r="E19" s="14">
        <f>MIN(Table1[[#This Row],[Belastbaar loon]]-Table1[[#This Row],[Loonheffing]]+Table1[[#This Row],[Algemene Heffingskorting]]+Table1[[#This Row],[Arbeidskorting]],Table1[[#This Row],[Belastbaar loon]])</f>
        <v>27620.818040000002</v>
      </c>
      <c r="F19" s="15">
        <f>(Table1[[#This Row],[Belastbaar loon]]-Table1[[#This Row],[Netto loon]])/Table1[[#This Row],[Belastbaar loon]]</f>
        <v>0.20979521542598839</v>
      </c>
      <c r="G19" s="14">
        <f>Table1[[#This Row],[Belastbaar loon]]-$A$8</f>
        <v>14243</v>
      </c>
      <c r="H19" s="14">
        <f>Table1[[#This Row],[Netto loon]]-$E$8</f>
        <v>7260.7965399999994</v>
      </c>
      <c r="I19" s="15">
        <f>(Table1[[#This Row],[Bruto tov vorige schijf]]-Table1[[#This Row],[Netto tov vorige schijf]])/MAX(Table1[[#This Row],[Bruto tov vorige schijf]],1)</f>
        <v>0.49022000000000004</v>
      </c>
    </row>
    <row r="20" spans="1:9" x14ac:dyDescent="0.25">
      <c r="A20" s="6">
        <f>ROUND(($A$33-$A$19)/(ROW($A$33)-ROW($A$19))*(ROW()-ROW($A$19))+$A$19,0)</f>
        <v>37351</v>
      </c>
      <c r="B20" s="6">
        <f>LoonHeffing2020(Table1[[#This Row],[Belastbaar loon]])</f>
        <v>13950.5985</v>
      </c>
      <c r="C20" s="6">
        <f>AlgemeneHeffingsKorting2020(Table1[[#This Row],[Belastbaar loon]])</f>
        <v>1767.1792</v>
      </c>
      <c r="D20" s="6">
        <f>ArbeidsKorting2020(Table1[[#This Row],[Belastbaar loon]])</f>
        <v>3675.18</v>
      </c>
      <c r="E20" s="6">
        <f>MIN(Table1[[#This Row],[Belastbaar loon]]-Table1[[#This Row],[Loonheffing]]+Table1[[#This Row],[Algemene Heffingskorting]]+Table1[[#This Row],[Arbeidskorting]],Table1[[#This Row],[Belastbaar loon]])</f>
        <v>28842.760699999999</v>
      </c>
      <c r="F20" s="2">
        <f>(Table1[[#This Row],[Belastbaar loon]]-Table1[[#This Row],[Netto loon]])/Table1[[#This Row],[Belastbaar loon]]</f>
        <v>0.2277914727851999</v>
      </c>
      <c r="G20" s="16">
        <f>Table1[[#This Row],[Belastbaar loon]]-$A$19</f>
        <v>2397</v>
      </c>
      <c r="H20" s="16">
        <f>Table1[[#This Row],[Netto loon]]-$E$19</f>
        <v>1221.942659999997</v>
      </c>
      <c r="I20" s="2">
        <f>(Table1[[#This Row],[Bruto tov vorige schijf]]-Table1[[#This Row],[Netto tov vorige schijf]])/MAX(Table1[[#This Row],[Bruto tov vorige schijf]],1)</f>
        <v>0.49022000000000127</v>
      </c>
    </row>
    <row r="21" spans="1:9" x14ac:dyDescent="0.25">
      <c r="A21" s="6">
        <f t="shared" ref="A21:A32" si="2">ROUND(($A$33-$A$19)/(ROW($A$33)-ROW($A$19))*(ROW()-ROW($A$19))+$A$19,0)</f>
        <v>39747</v>
      </c>
      <c r="B21" s="6">
        <f>LoonHeffing2020(Table1[[#This Row],[Belastbaar loon]])</f>
        <v>14845.504499999999</v>
      </c>
      <c r="C21" s="6">
        <f>AlgemeneHeffingsKorting2020(Table1[[#This Row],[Belastbaar loon]])</f>
        <v>1631.27808</v>
      </c>
      <c r="D21" s="6">
        <f>ArbeidsKorting2020(Table1[[#This Row],[Belastbaar loon]])</f>
        <v>3531.42</v>
      </c>
      <c r="E21" s="6">
        <f>MIN(Table1[[#This Row],[Belastbaar loon]]-Table1[[#This Row],[Loonheffing]]+Table1[[#This Row],[Algemene Heffingskorting]]+Table1[[#This Row],[Arbeidskorting]],Table1[[#This Row],[Belastbaar loon]])</f>
        <v>30064.193579999999</v>
      </c>
      <c r="F21" s="2">
        <f>(Table1[[#This Row],[Belastbaar loon]]-Table1[[#This Row],[Netto loon]])/Table1[[#This Row],[Belastbaar loon]]</f>
        <v>0.24361100007547742</v>
      </c>
      <c r="G21" s="16">
        <f>Table1[[#This Row],[Belastbaar loon]]-$A$19</f>
        <v>4793</v>
      </c>
      <c r="H21" s="16">
        <f>Table1[[#This Row],[Netto loon]]-$E$19</f>
        <v>2443.3755399999973</v>
      </c>
      <c r="I21" s="2">
        <f>(Table1[[#This Row],[Bruto tov vorige schijf]]-Table1[[#This Row],[Netto tov vorige schijf]])/MAX(Table1[[#This Row],[Bruto tov vorige schijf]],1)</f>
        <v>0.49022000000000054</v>
      </c>
    </row>
    <row r="22" spans="1:9" x14ac:dyDescent="0.25">
      <c r="A22" s="6">
        <f t="shared" si="2"/>
        <v>42144</v>
      </c>
      <c r="B22" s="6">
        <f>LoonHeffing2020(Table1[[#This Row],[Belastbaar loon]])</f>
        <v>15740.784</v>
      </c>
      <c r="C22" s="6">
        <f>AlgemeneHeffingsKorting2020(Table1[[#This Row],[Belastbaar loon]])</f>
        <v>1495.32024</v>
      </c>
      <c r="D22" s="6">
        <f>ArbeidsKorting2020(Table1[[#This Row],[Belastbaar loon]])</f>
        <v>3387.6</v>
      </c>
      <c r="E22" s="6">
        <f>MIN(Table1[[#This Row],[Belastbaar loon]]-Table1[[#This Row],[Loonheffing]]+Table1[[#This Row],[Algemene Heffingskorting]]+Table1[[#This Row],[Arbeidskorting]],Table1[[#This Row],[Belastbaar loon]])</f>
        <v>31286.13624</v>
      </c>
      <c r="F22" s="2">
        <f>(Table1[[#This Row],[Belastbaar loon]]-Table1[[#This Row],[Netto loon]])/Table1[[#This Row],[Belastbaar loon]]</f>
        <v>0.2576372380410023</v>
      </c>
      <c r="G22" s="16">
        <f>Table1[[#This Row],[Belastbaar loon]]-$A$19</f>
        <v>7190</v>
      </c>
      <c r="H22" s="16">
        <f>Table1[[#This Row],[Netto loon]]-$E$19</f>
        <v>3665.3181999999979</v>
      </c>
      <c r="I22" s="2">
        <f>(Table1[[#This Row],[Bruto tov vorige schijf]]-Table1[[#This Row],[Netto tov vorige schijf]])/MAX(Table1[[#This Row],[Bruto tov vorige schijf]],1)</f>
        <v>0.49022000000000027</v>
      </c>
    </row>
    <row r="23" spans="1:9" x14ac:dyDescent="0.25">
      <c r="A23" s="6">
        <f t="shared" si="2"/>
        <v>44541</v>
      </c>
      <c r="B23" s="6">
        <f>LoonHeffing2020(Table1[[#This Row],[Belastbaar loon]])</f>
        <v>16636.0635</v>
      </c>
      <c r="C23" s="6">
        <f>AlgemeneHeffingsKorting2020(Table1[[#This Row],[Belastbaar loon]])</f>
        <v>1359.3624</v>
      </c>
      <c r="D23" s="6">
        <f>ArbeidsKorting2020(Table1[[#This Row],[Belastbaar loon]])</f>
        <v>3243.78</v>
      </c>
      <c r="E23" s="6">
        <f>MIN(Table1[[#This Row],[Belastbaar loon]]-Table1[[#This Row],[Loonheffing]]+Table1[[#This Row],[Algemene Heffingskorting]]+Table1[[#This Row],[Arbeidskorting]],Table1[[#This Row],[Belastbaar loon]])</f>
        <v>32508.0789</v>
      </c>
      <c r="F23" s="2">
        <f>(Table1[[#This Row],[Belastbaar loon]]-Table1[[#This Row],[Netto loon]])/Table1[[#This Row],[Belastbaar loon]]</f>
        <v>0.27015381558564017</v>
      </c>
      <c r="G23" s="16">
        <f>Table1[[#This Row],[Belastbaar loon]]-$A$19</f>
        <v>9587</v>
      </c>
      <c r="H23" s="16">
        <f>Table1[[#This Row],[Netto loon]]-$E$19</f>
        <v>4887.2608599999985</v>
      </c>
      <c r="I23" s="2">
        <f>(Table1[[#This Row],[Bruto tov vorige schijf]]-Table1[[#This Row],[Netto tov vorige schijf]])/MAX(Table1[[#This Row],[Bruto tov vorige schijf]],1)</f>
        <v>0.49022000000000016</v>
      </c>
    </row>
    <row r="24" spans="1:9" x14ac:dyDescent="0.25">
      <c r="A24" s="6">
        <f t="shared" si="2"/>
        <v>46937</v>
      </c>
      <c r="B24" s="6">
        <f>LoonHeffing2020(Table1[[#This Row],[Belastbaar loon]])</f>
        <v>17530.969499999999</v>
      </c>
      <c r="C24" s="6">
        <f>AlgemeneHeffingsKorting2020(Table1[[#This Row],[Belastbaar loon]])</f>
        <v>1223.46128</v>
      </c>
      <c r="D24" s="6">
        <f>ArbeidsKorting2020(Table1[[#This Row],[Belastbaar loon]])</f>
        <v>3100.02</v>
      </c>
      <c r="E24" s="6">
        <f>MIN(Table1[[#This Row],[Belastbaar loon]]-Table1[[#This Row],[Loonheffing]]+Table1[[#This Row],[Algemene Heffingskorting]]+Table1[[#This Row],[Arbeidskorting]],Table1[[#This Row],[Belastbaar loon]])</f>
        <v>33729.511780000001</v>
      </c>
      <c r="F24" s="2">
        <f>(Table1[[#This Row],[Belastbaar loon]]-Table1[[#This Row],[Netto loon]])/Table1[[#This Row],[Belastbaar loon]]</f>
        <v>0.28138756673839399</v>
      </c>
      <c r="G24" s="16">
        <f>Table1[[#This Row],[Belastbaar loon]]-$A$19</f>
        <v>11983</v>
      </c>
      <c r="H24" s="16">
        <f>Table1[[#This Row],[Netto loon]]-$E$19</f>
        <v>6108.6937399999988</v>
      </c>
      <c r="I24" s="2">
        <f>(Table1[[#This Row],[Bruto tov vorige schijf]]-Table1[[#This Row],[Netto tov vorige schijf]])/MAX(Table1[[#This Row],[Bruto tov vorige schijf]],1)</f>
        <v>0.4902200000000001</v>
      </c>
    </row>
    <row r="25" spans="1:9" x14ac:dyDescent="0.25">
      <c r="A25" s="6">
        <f t="shared" si="2"/>
        <v>49334</v>
      </c>
      <c r="B25" s="6">
        <f>LoonHeffing2020(Table1[[#This Row],[Belastbaar loon]])</f>
        <v>18426.249</v>
      </c>
      <c r="C25" s="6">
        <f>AlgemeneHeffingsKorting2020(Table1[[#This Row],[Belastbaar loon]])</f>
        <v>1087.50344</v>
      </c>
      <c r="D25" s="6">
        <f>ArbeidsKorting2020(Table1[[#This Row],[Belastbaar loon]])</f>
        <v>2956.2</v>
      </c>
      <c r="E25" s="6">
        <f>MIN(Table1[[#This Row],[Belastbaar loon]]-Table1[[#This Row],[Loonheffing]]+Table1[[#This Row],[Algemene Heffingskorting]]+Table1[[#This Row],[Arbeidskorting]],Table1[[#This Row],[Belastbaar loon]])</f>
        <v>34951.454440000001</v>
      </c>
      <c r="F25" s="2">
        <f>(Table1[[#This Row],[Belastbaar loon]]-Table1[[#This Row],[Netto loon]])/Table1[[#This Row],[Belastbaar loon]]</f>
        <v>0.29153414602505368</v>
      </c>
      <c r="G25" s="16">
        <f>Table1[[#This Row],[Belastbaar loon]]-$A$19</f>
        <v>14380</v>
      </c>
      <c r="H25" s="16">
        <f>Table1[[#This Row],[Netto loon]]-$E$19</f>
        <v>7330.6363999999994</v>
      </c>
      <c r="I25" s="2">
        <f>(Table1[[#This Row],[Bruto tov vorige schijf]]-Table1[[#This Row],[Netto tov vorige schijf]])/MAX(Table1[[#This Row],[Bruto tov vorige schijf]],1)</f>
        <v>0.49022000000000004</v>
      </c>
    </row>
    <row r="26" spans="1:9" x14ac:dyDescent="0.25">
      <c r="A26" s="6">
        <f t="shared" si="2"/>
        <v>51731</v>
      </c>
      <c r="B26" s="6">
        <f>LoonHeffing2020(Table1[[#This Row],[Belastbaar loon]])</f>
        <v>19321.5285</v>
      </c>
      <c r="C26" s="6">
        <f>AlgemeneHeffingsKorting2020(Table1[[#This Row],[Belastbaar loon]])</f>
        <v>951.54560000000004</v>
      </c>
      <c r="D26" s="6">
        <f>ArbeidsKorting2020(Table1[[#This Row],[Belastbaar loon]])</f>
        <v>2812.38</v>
      </c>
      <c r="E26" s="6">
        <f>MIN(Table1[[#This Row],[Belastbaar loon]]-Table1[[#This Row],[Loonheffing]]+Table1[[#This Row],[Algemene Heffingskorting]]+Table1[[#This Row],[Arbeidskorting]],Table1[[#This Row],[Belastbaar loon]])</f>
        <v>36173.397099999995</v>
      </c>
      <c r="F26" s="2">
        <f>(Table1[[#This Row],[Belastbaar loon]]-Table1[[#This Row],[Netto loon]])/Table1[[#This Row],[Belastbaar loon]]</f>
        <v>0.3007404245036826</v>
      </c>
      <c r="G26" s="16">
        <f>Table1[[#This Row],[Belastbaar loon]]-$A$19</f>
        <v>16777</v>
      </c>
      <c r="H26" s="16">
        <f>Table1[[#This Row],[Netto loon]]-$E$19</f>
        <v>8552.5790599999928</v>
      </c>
      <c r="I26" s="2">
        <f>(Table1[[#This Row],[Bruto tov vorige schijf]]-Table1[[#This Row],[Netto tov vorige schijf]])/MAX(Table1[[#This Row],[Bruto tov vorige schijf]],1)</f>
        <v>0.49022000000000043</v>
      </c>
    </row>
    <row r="27" spans="1:9" x14ac:dyDescent="0.25">
      <c r="A27" s="6">
        <f t="shared" si="2"/>
        <v>54127</v>
      </c>
      <c r="B27" s="6">
        <f>LoonHeffing2020(Table1[[#This Row],[Belastbaar loon]])</f>
        <v>20216.434499999999</v>
      </c>
      <c r="C27" s="6">
        <f>AlgemeneHeffingsKorting2020(Table1[[#This Row],[Belastbaar loon]])</f>
        <v>815.64448000000004</v>
      </c>
      <c r="D27" s="6">
        <f>ArbeidsKorting2020(Table1[[#This Row],[Belastbaar loon]])</f>
        <v>2668.62</v>
      </c>
      <c r="E27" s="6">
        <f>MIN(Table1[[#This Row],[Belastbaar loon]]-Table1[[#This Row],[Loonheffing]]+Table1[[#This Row],[Algemene Heffingskorting]]+Table1[[#This Row],[Arbeidskorting]],Table1[[#This Row],[Belastbaar loon]])</f>
        <v>37394.829980000002</v>
      </c>
      <c r="F27" s="2">
        <f>(Table1[[#This Row],[Belastbaar loon]]-Table1[[#This Row],[Netto loon]])/Table1[[#This Row],[Belastbaar loon]]</f>
        <v>0.30912797716481605</v>
      </c>
      <c r="G27" s="16">
        <f>Table1[[#This Row],[Belastbaar loon]]-$A$19</f>
        <v>19173</v>
      </c>
      <c r="H27" s="16">
        <f>Table1[[#This Row],[Netto loon]]-$E$19</f>
        <v>9774.0119400000003</v>
      </c>
      <c r="I27" s="2">
        <f>(Table1[[#This Row],[Bruto tov vorige schijf]]-Table1[[#This Row],[Netto tov vorige schijf]])/MAX(Table1[[#This Row],[Bruto tov vorige schijf]],1)</f>
        <v>0.49021999999999999</v>
      </c>
    </row>
    <row r="28" spans="1:9" x14ac:dyDescent="0.25">
      <c r="A28" s="6">
        <f t="shared" si="2"/>
        <v>56524</v>
      </c>
      <c r="B28" s="6">
        <f>LoonHeffing2020(Table1[[#This Row],[Belastbaar loon]])</f>
        <v>21111.714</v>
      </c>
      <c r="C28" s="6">
        <f>AlgemeneHeffingsKorting2020(Table1[[#This Row],[Belastbaar loon]])</f>
        <v>679.68664000000001</v>
      </c>
      <c r="D28" s="6">
        <f>ArbeidsKorting2020(Table1[[#This Row],[Belastbaar loon]])</f>
        <v>2524.8000000000002</v>
      </c>
      <c r="E28" s="6">
        <f>MIN(Table1[[#This Row],[Belastbaar loon]]-Table1[[#This Row],[Loonheffing]]+Table1[[#This Row],[Algemene Heffingskorting]]+Table1[[#This Row],[Arbeidskorting]],Table1[[#This Row],[Belastbaar loon]])</f>
        <v>38616.772640000003</v>
      </c>
      <c r="F28" s="2">
        <f>(Table1[[#This Row],[Belastbaar loon]]-Table1[[#This Row],[Netto loon]])/Table1[[#This Row],[Belastbaar loon]]</f>
        <v>0.31680750406906794</v>
      </c>
      <c r="G28" s="16">
        <f>Table1[[#This Row],[Belastbaar loon]]-$A$19</f>
        <v>21570</v>
      </c>
      <c r="H28" s="16">
        <f>Table1[[#This Row],[Netto loon]]-$E$19</f>
        <v>10995.954600000001</v>
      </c>
      <c r="I28" s="2">
        <f>(Table1[[#This Row],[Bruto tov vorige schijf]]-Table1[[#This Row],[Netto tov vorige schijf]])/MAX(Table1[[#This Row],[Bruto tov vorige schijf]],1)</f>
        <v>0.49021999999999993</v>
      </c>
    </row>
    <row r="29" spans="1:9" x14ac:dyDescent="0.25">
      <c r="A29" s="6">
        <f t="shared" si="2"/>
        <v>58920</v>
      </c>
      <c r="B29" s="6">
        <f>LoonHeffing2020(Table1[[#This Row],[Belastbaar loon]])</f>
        <v>22006.62</v>
      </c>
      <c r="C29" s="6">
        <f>AlgemeneHeffingsKorting2020(Table1[[#This Row],[Belastbaar loon]])</f>
        <v>543.78552000000002</v>
      </c>
      <c r="D29" s="6">
        <f>ArbeidsKorting2020(Table1[[#This Row],[Belastbaar loon]])</f>
        <v>2381.04</v>
      </c>
      <c r="E29" s="6">
        <f>MIN(Table1[[#This Row],[Belastbaar loon]]-Table1[[#This Row],[Loonheffing]]+Table1[[#This Row],[Algemene Heffingskorting]]+Table1[[#This Row],[Arbeidskorting]],Table1[[#This Row],[Belastbaar loon]])</f>
        <v>39838.205520000003</v>
      </c>
      <c r="F29" s="2">
        <f>(Table1[[#This Row],[Belastbaar loon]]-Table1[[#This Row],[Netto loon]])/Table1[[#This Row],[Belastbaar loon]]</f>
        <v>0.32385937678207732</v>
      </c>
      <c r="G29" s="16">
        <f>Table1[[#This Row],[Belastbaar loon]]-$A$19</f>
        <v>23966</v>
      </c>
      <c r="H29" s="16">
        <f>Table1[[#This Row],[Netto loon]]-$E$19</f>
        <v>12217.387480000001</v>
      </c>
      <c r="I29" s="2">
        <f>(Table1[[#This Row],[Bruto tov vorige schijf]]-Table1[[#This Row],[Netto tov vorige schijf]])/MAX(Table1[[#This Row],[Bruto tov vorige schijf]],1)</f>
        <v>0.49021999999999993</v>
      </c>
    </row>
    <row r="30" spans="1:9" x14ac:dyDescent="0.25">
      <c r="A30" s="6">
        <f t="shared" si="2"/>
        <v>61317</v>
      </c>
      <c r="B30" s="6">
        <f>LoonHeffing2020(Table1[[#This Row],[Belastbaar loon]])</f>
        <v>22901.8995</v>
      </c>
      <c r="C30" s="6">
        <f>AlgemeneHeffingsKorting2020(Table1[[#This Row],[Belastbaar loon]])</f>
        <v>407.82768000000004</v>
      </c>
      <c r="D30" s="6">
        <f>ArbeidsKorting2020(Table1[[#This Row],[Belastbaar loon]])</f>
        <v>2237.2200000000003</v>
      </c>
      <c r="E30" s="6">
        <f>MIN(Table1[[#This Row],[Belastbaar loon]]-Table1[[#This Row],[Loonheffing]]+Table1[[#This Row],[Algemene Heffingskorting]]+Table1[[#This Row],[Arbeidskorting]],Table1[[#This Row],[Belastbaar loon]])</f>
        <v>41060.148180000004</v>
      </c>
      <c r="F30" s="2">
        <f>(Table1[[#This Row],[Belastbaar loon]]-Table1[[#This Row],[Netto loon]])/Table1[[#This Row],[Belastbaar loon]]</f>
        <v>0.3303627349674641</v>
      </c>
      <c r="G30" s="16">
        <f>Table1[[#This Row],[Belastbaar loon]]-$A$19</f>
        <v>26363</v>
      </c>
      <c r="H30" s="16">
        <f>Table1[[#This Row],[Netto loon]]-$E$19</f>
        <v>13439.330140000002</v>
      </c>
      <c r="I30" s="2">
        <f>(Table1[[#This Row],[Bruto tov vorige schijf]]-Table1[[#This Row],[Netto tov vorige schijf]])/MAX(Table1[[#This Row],[Bruto tov vorige schijf]],1)</f>
        <v>0.49021999999999993</v>
      </c>
    </row>
    <row r="31" spans="1:9" x14ac:dyDescent="0.25">
      <c r="A31" s="6">
        <f t="shared" si="2"/>
        <v>63714</v>
      </c>
      <c r="B31" s="6">
        <f>LoonHeffing2020(Table1[[#This Row],[Belastbaar loon]])</f>
        <v>23797.179</v>
      </c>
      <c r="C31" s="6">
        <f>AlgemeneHeffingsKorting2020(Table1[[#This Row],[Belastbaar loon]])</f>
        <v>271.86984000000001</v>
      </c>
      <c r="D31" s="6">
        <f>ArbeidsKorting2020(Table1[[#This Row],[Belastbaar loon]])</f>
        <v>2093.4</v>
      </c>
      <c r="E31" s="6">
        <f>MIN(Table1[[#This Row],[Belastbaar loon]]-Table1[[#This Row],[Loonheffing]]+Table1[[#This Row],[Algemene Heffingskorting]]+Table1[[#This Row],[Arbeidskorting]],Table1[[#This Row],[Belastbaar loon]])</f>
        <v>42282.090839999997</v>
      </c>
      <c r="F31" s="2">
        <f>(Table1[[#This Row],[Belastbaar loon]]-Table1[[#This Row],[Netto loon]])/Table1[[#This Row],[Belastbaar loon]]</f>
        <v>0.33637676429042285</v>
      </c>
      <c r="G31" s="16">
        <f>Table1[[#This Row],[Belastbaar loon]]-$A$19</f>
        <v>28760</v>
      </c>
      <c r="H31" s="16">
        <f>Table1[[#This Row],[Netto loon]]-$E$19</f>
        <v>14661.272799999995</v>
      </c>
      <c r="I31" s="2">
        <f>(Table1[[#This Row],[Bruto tov vorige schijf]]-Table1[[#This Row],[Netto tov vorige schijf]])/MAX(Table1[[#This Row],[Bruto tov vorige schijf]],1)</f>
        <v>0.49022000000000016</v>
      </c>
    </row>
    <row r="32" spans="1:9" x14ac:dyDescent="0.25">
      <c r="A32" s="6">
        <f>ROUND(($A$33-$A$19)/(ROW($A$33)-ROW($A$19))*(ROW()-ROW($A$19))+$A$19,0)</f>
        <v>66110</v>
      </c>
      <c r="B32" s="6">
        <f>LoonHeffing2020(Table1[[#This Row],[Belastbaar loon]])</f>
        <v>24692.084999999999</v>
      </c>
      <c r="C32" s="6">
        <f>AlgemeneHeffingsKorting2020(Table1[[#This Row],[Belastbaar loon]])</f>
        <v>135.96872000000002</v>
      </c>
      <c r="D32" s="6">
        <f>ArbeidsKorting2020(Table1[[#This Row],[Belastbaar loon]])</f>
        <v>1949.64</v>
      </c>
      <c r="E32" s="6">
        <f>MIN(Table1[[#This Row],[Belastbaar loon]]-Table1[[#This Row],[Loonheffing]]+Table1[[#This Row],[Algemene Heffingskorting]]+Table1[[#This Row],[Arbeidskorting]],Table1[[#This Row],[Belastbaar loon]])</f>
        <v>43503.523719999997</v>
      </c>
      <c r="F32" s="2">
        <f>(Table1[[#This Row],[Belastbaar loon]]-Table1[[#This Row],[Netto loon]])/Table1[[#This Row],[Belastbaar loon]]</f>
        <v>0.34195244713356532</v>
      </c>
      <c r="G32" s="16">
        <f>Table1[[#This Row],[Belastbaar loon]]-$A$19</f>
        <v>31156</v>
      </c>
      <c r="H32" s="16">
        <f>Table1[[#This Row],[Netto loon]]-$E$19</f>
        <v>15882.705679999995</v>
      </c>
      <c r="I32" s="2">
        <f>(Table1[[#This Row],[Bruto tov vorige schijf]]-Table1[[#This Row],[Netto tov vorige schijf]])/MAX(Table1[[#This Row],[Bruto tov vorige schijf]],1)</f>
        <v>0.49022000000000016</v>
      </c>
    </row>
    <row r="33" spans="1:9" x14ac:dyDescent="0.25">
      <c r="A33" s="14">
        <v>68507</v>
      </c>
      <c r="B33" s="14">
        <f>LoonHeffing2020(Table1[[#This Row],[Belastbaar loon]])</f>
        <v>25587.3645</v>
      </c>
      <c r="C33" s="14">
        <f>AlgemeneHeffingsKorting2020(Table1[[#This Row],[Belastbaar loon]])</f>
        <v>1.0880000000019763E-2</v>
      </c>
      <c r="D33" s="14">
        <f>ArbeidsKorting2020(Table1[[#This Row],[Belastbaar loon]])</f>
        <v>1805.8200000000002</v>
      </c>
      <c r="E33" s="14">
        <f>MIN(Table1[[#This Row],[Belastbaar loon]]-Table1[[#This Row],[Loonheffing]]+Table1[[#This Row],[Algemene Heffingskorting]]+Table1[[#This Row],[Arbeidskorting]],Table1[[#This Row],[Belastbaar loon]])</f>
        <v>44725.466380000005</v>
      </c>
      <c r="F33" s="15">
        <f>(Table1[[#This Row],[Belastbaar loon]]-Table1[[#This Row],[Netto loon]])/Table1[[#This Row],[Belastbaar loon]]</f>
        <v>0.34714019910374116</v>
      </c>
      <c r="G33" s="14">
        <f>Table1[[#This Row],[Belastbaar loon]]-$A$19</f>
        <v>33553</v>
      </c>
      <c r="H33" s="14">
        <f>Table1[[#This Row],[Netto loon]]-$E$19</f>
        <v>17104.648340000003</v>
      </c>
      <c r="I33" s="15">
        <f>(Table1[[#This Row],[Bruto tov vorige schijf]]-Table1[[#This Row],[Netto tov vorige schijf]])/MAX(Table1[[#This Row],[Bruto tov vorige schijf]],1)</f>
        <v>0.49021999999999988</v>
      </c>
    </row>
    <row r="34" spans="1:9" x14ac:dyDescent="0.25">
      <c r="A34" s="6">
        <f>ROUND(($A$72-$A$33)/(ROW($A$72)-ROW($A$33))*(ROW()-ROW($A$33))+$A$33,0)</f>
        <v>69279</v>
      </c>
      <c r="B34" s="6">
        <f>LoonHeffing2020(Table1[[#This Row],[Belastbaar loon]])</f>
        <v>25969.383000000002</v>
      </c>
      <c r="C34" s="6">
        <f>AlgemeneHeffingsKorting2020(Table1[[#This Row],[Belastbaar loon]])</f>
        <v>0</v>
      </c>
      <c r="D34" s="6">
        <f>ArbeidsKorting2020(Table1[[#This Row],[Belastbaar loon]])</f>
        <v>1759.5</v>
      </c>
      <c r="E34" s="6">
        <f>MIN(Table1[[#This Row],[Belastbaar loon]]-Table1[[#This Row],[Loonheffing]]+Table1[[#This Row],[Algemene Heffingskorting]]+Table1[[#This Row],[Arbeidskorting]],Table1[[#This Row],[Belastbaar loon]])</f>
        <v>45069.116999999998</v>
      </c>
      <c r="F34" s="2">
        <f>(Table1[[#This Row],[Belastbaar loon]]-Table1[[#This Row],[Netto loon]])/Table1[[#This Row],[Belastbaar loon]]</f>
        <v>0.34945485645000651</v>
      </c>
      <c r="G34" s="16">
        <f>Table1[[#This Row],[Belastbaar loon]]-$A$33</f>
        <v>772</v>
      </c>
      <c r="H34" s="16">
        <f>Table1[[#This Row],[Netto loon]]-$E$33</f>
        <v>343.65061999999307</v>
      </c>
      <c r="I34" s="2">
        <f>(Table1[[#This Row],[Bruto tov vorige schijf]]-Table1[[#This Row],[Netto tov vorige schijf]])/MAX(Table1[[#This Row],[Bruto tov vorige schijf]],1)</f>
        <v>0.55485670984456859</v>
      </c>
    </row>
    <row r="35" spans="1:9" x14ac:dyDescent="0.25">
      <c r="A35" s="6">
        <f t="shared" ref="A35:A71" si="3">ROUND(($A$72-$A$33)/(ROW($A$72)-ROW($A$33))*(ROW()-ROW($A$33))+$A$33,0)</f>
        <v>70050</v>
      </c>
      <c r="B35" s="6">
        <f>LoonHeffing2020(Table1[[#This Row],[Belastbaar loon]])</f>
        <v>26351.027999999998</v>
      </c>
      <c r="C35" s="6">
        <f>AlgemeneHeffingsKorting2020(Table1[[#This Row],[Belastbaar loon]])</f>
        <v>0</v>
      </c>
      <c r="D35" s="6">
        <f>ArbeidsKorting2020(Table1[[#This Row],[Belastbaar loon]])</f>
        <v>1713.24</v>
      </c>
      <c r="E35" s="6">
        <f>MIN(Table1[[#This Row],[Belastbaar loon]]-Table1[[#This Row],[Loonheffing]]+Table1[[#This Row],[Algemene Heffingskorting]]+Table1[[#This Row],[Arbeidskorting]],Table1[[#This Row],[Belastbaar loon]])</f>
        <v>45412.212</v>
      </c>
      <c r="F35" s="2">
        <f>(Table1[[#This Row],[Belastbaar loon]]-Table1[[#This Row],[Netto loon]])/Table1[[#This Row],[Belastbaar loon]]</f>
        <v>0.3517171734475375</v>
      </c>
      <c r="G35" s="16">
        <f>Table1[[#This Row],[Belastbaar loon]]-$A$33</f>
        <v>1543</v>
      </c>
      <c r="H35" s="16">
        <f>Table1[[#This Row],[Netto loon]]-$E$33</f>
        <v>686.74561999999423</v>
      </c>
      <c r="I35" s="2">
        <f>(Table1[[#This Row],[Bruto tov vorige schijf]]-Table1[[#This Row],[Netto tov vorige schijf]])/MAX(Table1[[#This Row],[Bruto tov vorige schijf]],1)</f>
        <v>0.55492830848995833</v>
      </c>
    </row>
    <row r="36" spans="1:9" x14ac:dyDescent="0.25">
      <c r="A36" s="6">
        <f t="shared" si="3"/>
        <v>70822</v>
      </c>
      <c r="B36" s="6">
        <f>LoonHeffing2020(Table1[[#This Row],[Belastbaar loon]])</f>
        <v>26733.168000000001</v>
      </c>
      <c r="C36" s="6">
        <f>AlgemeneHeffingsKorting2020(Table1[[#This Row],[Belastbaar loon]])</f>
        <v>0</v>
      </c>
      <c r="D36" s="6">
        <f>ArbeidsKorting2020(Table1[[#This Row],[Belastbaar loon]])</f>
        <v>1666.92</v>
      </c>
      <c r="E36" s="6">
        <f>MIN(Table1[[#This Row],[Belastbaar loon]]-Table1[[#This Row],[Loonheffing]]+Table1[[#This Row],[Algemene Heffingskorting]]+Table1[[#This Row],[Arbeidskorting]],Table1[[#This Row],[Belastbaar loon]])</f>
        <v>45755.751999999993</v>
      </c>
      <c r="F36" s="2">
        <f>(Table1[[#This Row],[Belastbaar loon]]-Table1[[#This Row],[Netto loon]])/Table1[[#This Row],[Belastbaar loon]]</f>
        <v>0.35393307164440435</v>
      </c>
      <c r="G36" s="16">
        <f>Table1[[#This Row],[Belastbaar loon]]-$A$33</f>
        <v>2315</v>
      </c>
      <c r="H36" s="16">
        <f>Table1[[#This Row],[Netto loon]]-$E$33</f>
        <v>1030.2856199999878</v>
      </c>
      <c r="I36" s="2">
        <f>(Table1[[#This Row],[Bruto tov vorige schijf]]-Table1[[#This Row],[Netto tov vorige schijf]])/MAX(Table1[[#This Row],[Bruto tov vorige schijf]],1)</f>
        <v>0.55495221598272659</v>
      </c>
    </row>
    <row r="37" spans="1:9" x14ac:dyDescent="0.25">
      <c r="A37" s="6">
        <f t="shared" si="3"/>
        <v>71594</v>
      </c>
      <c r="B37" s="6">
        <f>LoonHeffing2020(Table1[[#This Row],[Belastbaar loon]])</f>
        <v>27115.308000000001</v>
      </c>
      <c r="C37" s="6">
        <f>AlgemeneHeffingsKorting2020(Table1[[#This Row],[Belastbaar loon]])</f>
        <v>0</v>
      </c>
      <c r="D37" s="6">
        <f>ArbeidsKorting2020(Table1[[#This Row],[Belastbaar loon]])</f>
        <v>1620.6000000000001</v>
      </c>
      <c r="E37" s="6">
        <f>MIN(Table1[[#This Row],[Belastbaar loon]]-Table1[[#This Row],[Loonheffing]]+Table1[[#This Row],[Algemene Heffingskorting]]+Table1[[#This Row],[Arbeidskorting]],Table1[[#This Row],[Belastbaar loon]])</f>
        <v>46099.291999999994</v>
      </c>
      <c r="F37" s="2">
        <f>(Table1[[#This Row],[Belastbaar loon]]-Table1[[#This Row],[Netto loon]])/Table1[[#This Row],[Belastbaar loon]]</f>
        <v>0.35610118166326793</v>
      </c>
      <c r="G37" s="16">
        <f>Table1[[#This Row],[Belastbaar loon]]-$A$33</f>
        <v>3087</v>
      </c>
      <c r="H37" s="16">
        <f>Table1[[#This Row],[Netto loon]]-$E$33</f>
        <v>1373.8256199999887</v>
      </c>
      <c r="I37" s="2">
        <f>(Table1[[#This Row],[Bruto tov vorige schijf]]-Table1[[#This Row],[Netto tov vorige schijf]])/MAX(Table1[[#This Row],[Bruto tov vorige schijf]],1)</f>
        <v>0.55496416585682262</v>
      </c>
    </row>
    <row r="38" spans="1:9" x14ac:dyDescent="0.25">
      <c r="A38" s="6">
        <f t="shared" si="3"/>
        <v>72366</v>
      </c>
      <c r="B38" s="6">
        <f>LoonHeffing2020(Table1[[#This Row],[Belastbaar loon]])</f>
        <v>27497.448</v>
      </c>
      <c r="C38" s="6">
        <f>AlgemeneHeffingsKorting2020(Table1[[#This Row],[Belastbaar loon]])</f>
        <v>0</v>
      </c>
      <c r="D38" s="6">
        <f>ArbeidsKorting2020(Table1[[#This Row],[Belastbaar loon]])</f>
        <v>1574.28</v>
      </c>
      <c r="E38" s="6">
        <f>MIN(Table1[[#This Row],[Belastbaar loon]]-Table1[[#This Row],[Loonheffing]]+Table1[[#This Row],[Algemene Heffingskorting]]+Table1[[#This Row],[Arbeidskorting]],Table1[[#This Row],[Belastbaar loon]])</f>
        <v>46442.831999999995</v>
      </c>
      <c r="F38" s="2">
        <f>(Table1[[#This Row],[Belastbaar loon]]-Table1[[#This Row],[Netto loon]])/Table1[[#This Row],[Belastbaar loon]]</f>
        <v>0.35822303291601038</v>
      </c>
      <c r="G38" s="16">
        <f>Table1[[#This Row],[Belastbaar loon]]-$A$33</f>
        <v>3859</v>
      </c>
      <c r="H38" s="16">
        <f>Table1[[#This Row],[Netto loon]]-$E$33</f>
        <v>1717.3656199999896</v>
      </c>
      <c r="I38" s="2">
        <f>(Table1[[#This Row],[Bruto tov vorige schijf]]-Table1[[#This Row],[Netto tov vorige schijf]])/MAX(Table1[[#This Row],[Bruto tov vorige schijf]],1)</f>
        <v>0.55497133454263037</v>
      </c>
    </row>
    <row r="39" spans="1:9" x14ac:dyDescent="0.25">
      <c r="A39" s="6">
        <f t="shared" si="3"/>
        <v>73137</v>
      </c>
      <c r="B39" s="6">
        <f>LoonHeffing2020(Table1[[#This Row],[Belastbaar loon]])</f>
        <v>27879.093000000001</v>
      </c>
      <c r="C39" s="6">
        <f>AlgemeneHeffingsKorting2020(Table1[[#This Row],[Belastbaar loon]])</f>
        <v>0</v>
      </c>
      <c r="D39" s="6">
        <f>ArbeidsKorting2020(Table1[[#This Row],[Belastbaar loon]])</f>
        <v>1528.02</v>
      </c>
      <c r="E39" s="6">
        <f>MIN(Table1[[#This Row],[Belastbaar loon]]-Table1[[#This Row],[Loonheffing]]+Table1[[#This Row],[Algemene Heffingskorting]]+Table1[[#This Row],[Arbeidskorting]],Table1[[#This Row],[Belastbaar loon]])</f>
        <v>46785.926999999996</v>
      </c>
      <c r="F39" s="2">
        <f>(Table1[[#This Row],[Belastbaar loon]]-Table1[[#This Row],[Netto loon]])/Table1[[#This Row],[Belastbaar loon]]</f>
        <v>0.36029742811436077</v>
      </c>
      <c r="G39" s="16">
        <f>Table1[[#This Row],[Belastbaar loon]]-$A$33</f>
        <v>4630</v>
      </c>
      <c r="H39" s="16">
        <f>Table1[[#This Row],[Netto loon]]-$E$33</f>
        <v>2060.4606199999907</v>
      </c>
      <c r="I39" s="2">
        <f>(Table1[[#This Row],[Bruto tov vorige schijf]]-Table1[[#This Row],[Netto tov vorige schijf]])/MAX(Table1[[#This Row],[Bruto tov vorige schijf]],1)</f>
        <v>0.55497610799136265</v>
      </c>
    </row>
    <row r="40" spans="1:9" x14ac:dyDescent="0.25">
      <c r="A40" s="6">
        <f t="shared" si="3"/>
        <v>73909</v>
      </c>
      <c r="B40" s="6">
        <f>LoonHeffing2020(Table1[[#This Row],[Belastbaar loon]])</f>
        <v>28261.233</v>
      </c>
      <c r="C40" s="6">
        <f>AlgemeneHeffingsKorting2020(Table1[[#This Row],[Belastbaar loon]])</f>
        <v>0</v>
      </c>
      <c r="D40" s="6">
        <f>ArbeidsKorting2020(Table1[[#This Row],[Belastbaar loon]])</f>
        <v>1481.7</v>
      </c>
      <c r="E40" s="6">
        <f>MIN(Table1[[#This Row],[Belastbaar loon]]-Table1[[#This Row],[Loonheffing]]+Table1[[#This Row],[Algemene Heffingskorting]]+Table1[[#This Row],[Arbeidskorting]],Table1[[#This Row],[Belastbaar loon]])</f>
        <v>47129.466999999997</v>
      </c>
      <c r="F40" s="2">
        <f>(Table1[[#This Row],[Belastbaar loon]]-Table1[[#This Row],[Netto loon]])/Table1[[#This Row],[Belastbaar loon]]</f>
        <v>0.36233115046881981</v>
      </c>
      <c r="G40" s="16">
        <f>Table1[[#This Row],[Belastbaar loon]]-$A$33</f>
        <v>5402</v>
      </c>
      <c r="H40" s="16">
        <f>Table1[[#This Row],[Netto loon]]-$E$33</f>
        <v>2404.0006199999916</v>
      </c>
      <c r="I40" s="2">
        <f>(Table1[[#This Row],[Bruto tov vorige schijf]]-Table1[[#This Row],[Netto tov vorige schijf]])/MAX(Table1[[#This Row],[Bruto tov vorige schijf]],1)</f>
        <v>0.55497952239911297</v>
      </c>
    </row>
    <row r="41" spans="1:9" x14ac:dyDescent="0.25">
      <c r="A41" s="6">
        <f t="shared" si="3"/>
        <v>74681</v>
      </c>
      <c r="B41" s="6">
        <f>LoonHeffing2020(Table1[[#This Row],[Belastbaar loon]])</f>
        <v>28643.373</v>
      </c>
      <c r="C41" s="6">
        <f>AlgemeneHeffingsKorting2020(Table1[[#This Row],[Belastbaar loon]])</f>
        <v>0</v>
      </c>
      <c r="D41" s="6">
        <f>ArbeidsKorting2020(Table1[[#This Row],[Belastbaar loon]])</f>
        <v>1435.38</v>
      </c>
      <c r="E41" s="6">
        <f>MIN(Table1[[#This Row],[Belastbaar loon]]-Table1[[#This Row],[Loonheffing]]+Table1[[#This Row],[Algemene Heffingskorting]]+Table1[[#This Row],[Arbeidskorting]],Table1[[#This Row],[Belastbaar loon]])</f>
        <v>47473.006999999998</v>
      </c>
      <c r="F41" s="2">
        <f>(Table1[[#This Row],[Belastbaar loon]]-Table1[[#This Row],[Netto loon]])/Table1[[#This Row],[Belastbaar loon]]</f>
        <v>0.36432282642171371</v>
      </c>
      <c r="G41" s="16">
        <f>Table1[[#This Row],[Belastbaar loon]]-$A$33</f>
        <v>6174</v>
      </c>
      <c r="H41" s="16">
        <f>Table1[[#This Row],[Netto loon]]-$E$33</f>
        <v>2747.5406199999925</v>
      </c>
      <c r="I41" s="2">
        <f>(Table1[[#This Row],[Bruto tov vorige schijf]]-Table1[[#This Row],[Netto tov vorige schijf]])/MAX(Table1[[#This Row],[Bruto tov vorige schijf]],1)</f>
        <v>0.55498208292841067</v>
      </c>
    </row>
    <row r="42" spans="1:9" x14ac:dyDescent="0.25">
      <c r="A42" s="6">
        <f t="shared" si="3"/>
        <v>75452</v>
      </c>
      <c r="B42" s="6">
        <f>LoonHeffing2020(Table1[[#This Row],[Belastbaar loon]])</f>
        <v>29025.018</v>
      </c>
      <c r="C42" s="6">
        <f>AlgemeneHeffingsKorting2020(Table1[[#This Row],[Belastbaar loon]])</f>
        <v>0</v>
      </c>
      <c r="D42" s="6">
        <f>ArbeidsKorting2020(Table1[[#This Row],[Belastbaar loon]])</f>
        <v>1389.1200000000001</v>
      </c>
      <c r="E42" s="6">
        <f>MIN(Table1[[#This Row],[Belastbaar loon]]-Table1[[#This Row],[Loonheffing]]+Table1[[#This Row],[Algemene Heffingskorting]]+Table1[[#This Row],[Arbeidskorting]],Table1[[#This Row],[Belastbaar loon]])</f>
        <v>47816.102000000006</v>
      </c>
      <c r="F42" s="2">
        <f>(Table1[[#This Row],[Belastbaar loon]]-Table1[[#This Row],[Netto loon]])/Table1[[#This Row],[Belastbaar loon]]</f>
        <v>0.36627124529502192</v>
      </c>
      <c r="G42" s="16">
        <f>Table1[[#This Row],[Belastbaar loon]]-$A$33</f>
        <v>6945</v>
      </c>
      <c r="H42" s="16">
        <f>Table1[[#This Row],[Netto loon]]-$E$33</f>
        <v>3090.6356200000009</v>
      </c>
      <c r="I42" s="2">
        <f>(Table1[[#This Row],[Bruto tov vorige schijf]]-Table1[[#This Row],[Netto tov vorige schijf]])/MAX(Table1[[#This Row],[Bruto tov vorige schijf]],1)</f>
        <v>0.55498407199424038</v>
      </c>
    </row>
    <row r="43" spans="1:9" x14ac:dyDescent="0.25">
      <c r="A43" s="6">
        <f t="shared" si="3"/>
        <v>76224</v>
      </c>
      <c r="B43" s="6">
        <f>LoonHeffing2020(Table1[[#This Row],[Belastbaar loon]])</f>
        <v>29407.157999999999</v>
      </c>
      <c r="C43" s="6">
        <f>AlgemeneHeffingsKorting2020(Table1[[#This Row],[Belastbaar loon]])</f>
        <v>0</v>
      </c>
      <c r="D43" s="6">
        <f>ArbeidsKorting2020(Table1[[#This Row],[Belastbaar loon]])</f>
        <v>1342.8000000000002</v>
      </c>
      <c r="E43" s="6">
        <f>MIN(Table1[[#This Row],[Belastbaar loon]]-Table1[[#This Row],[Loonheffing]]+Table1[[#This Row],[Algemene Heffingskorting]]+Table1[[#This Row],[Arbeidskorting]],Table1[[#This Row],[Belastbaar loon]])</f>
        <v>48159.642000000007</v>
      </c>
      <c r="F43" s="2">
        <f>(Table1[[#This Row],[Belastbaar loon]]-Table1[[#This Row],[Netto loon]])/Table1[[#This Row],[Belastbaar loon]]</f>
        <v>0.36818269836272033</v>
      </c>
      <c r="G43" s="16">
        <f>Table1[[#This Row],[Belastbaar loon]]-$A$33</f>
        <v>7717</v>
      </c>
      <c r="H43" s="16">
        <f>Table1[[#This Row],[Netto loon]]-$E$33</f>
        <v>3434.1756200000018</v>
      </c>
      <c r="I43" s="2">
        <f>(Table1[[#This Row],[Bruto tov vorige schijf]]-Table1[[#This Row],[Netto tov vorige schijf]])/MAX(Table1[[#This Row],[Bruto tov vorige schijf]],1)</f>
        <v>0.55498566541402072</v>
      </c>
    </row>
    <row r="44" spans="1:9" x14ac:dyDescent="0.25">
      <c r="A44" s="6">
        <f t="shared" si="3"/>
        <v>76996</v>
      </c>
      <c r="B44" s="6">
        <f>LoonHeffing2020(Table1[[#This Row],[Belastbaar loon]])</f>
        <v>29789.297999999999</v>
      </c>
      <c r="C44" s="6">
        <f>AlgemeneHeffingsKorting2020(Table1[[#This Row],[Belastbaar loon]])</f>
        <v>0</v>
      </c>
      <c r="D44" s="6">
        <f>ArbeidsKorting2020(Table1[[#This Row],[Belastbaar loon]])</f>
        <v>1296.48</v>
      </c>
      <c r="E44" s="6">
        <f>MIN(Table1[[#This Row],[Belastbaar loon]]-Table1[[#This Row],[Loonheffing]]+Table1[[#This Row],[Algemene Heffingskorting]]+Table1[[#This Row],[Arbeidskorting]],Table1[[#This Row],[Belastbaar loon]])</f>
        <v>48503.182000000008</v>
      </c>
      <c r="F44" s="2">
        <f>(Table1[[#This Row],[Belastbaar loon]]-Table1[[#This Row],[Netto loon]])/Table1[[#This Row],[Belastbaar loon]]</f>
        <v>0.3700558210816145</v>
      </c>
      <c r="G44" s="16">
        <f>Table1[[#This Row],[Belastbaar loon]]-$A$33</f>
        <v>8489</v>
      </c>
      <c r="H44" s="16">
        <f>Table1[[#This Row],[Netto loon]]-$E$33</f>
        <v>3777.7156200000027</v>
      </c>
      <c r="I44" s="2">
        <f>(Table1[[#This Row],[Bruto tov vorige schijf]]-Table1[[#This Row],[Netto tov vorige schijf]])/MAX(Table1[[#This Row],[Bruto tov vorige schijf]],1)</f>
        <v>0.55498696901872979</v>
      </c>
    </row>
    <row r="45" spans="1:9" x14ac:dyDescent="0.25">
      <c r="A45" s="6">
        <f t="shared" si="3"/>
        <v>77768</v>
      </c>
      <c r="B45" s="6">
        <f>LoonHeffing2020(Table1[[#This Row],[Belastbaar loon]])</f>
        <v>30171.437999999998</v>
      </c>
      <c r="C45" s="6">
        <f>AlgemeneHeffingsKorting2020(Table1[[#This Row],[Belastbaar loon]])</f>
        <v>0</v>
      </c>
      <c r="D45" s="6">
        <f>ArbeidsKorting2020(Table1[[#This Row],[Belastbaar loon]])</f>
        <v>1250.1600000000001</v>
      </c>
      <c r="E45" s="6">
        <f>MIN(Table1[[#This Row],[Belastbaar loon]]-Table1[[#This Row],[Loonheffing]]+Table1[[#This Row],[Algemene Heffingskorting]]+Table1[[#This Row],[Arbeidskorting]],Table1[[#This Row],[Belastbaar loon]])</f>
        <v>48846.722000000009</v>
      </c>
      <c r="F45" s="2">
        <f>(Table1[[#This Row],[Belastbaar loon]]-Table1[[#This Row],[Netto loon]])/Table1[[#This Row],[Belastbaar loon]]</f>
        <v>0.37189175496348104</v>
      </c>
      <c r="G45" s="16">
        <f>Table1[[#This Row],[Belastbaar loon]]-$A$33</f>
        <v>9261</v>
      </c>
      <c r="H45" s="16">
        <f>Table1[[#This Row],[Netto loon]]-$E$33</f>
        <v>4121.2556200000035</v>
      </c>
      <c r="I45" s="2">
        <f>(Table1[[#This Row],[Bruto tov vorige schijf]]-Table1[[#This Row],[Netto tov vorige schijf]])/MAX(Table1[[#This Row],[Bruto tov vorige schijf]],1)</f>
        <v>0.55498805528560591</v>
      </c>
    </row>
    <row r="46" spans="1:9" x14ac:dyDescent="0.25">
      <c r="A46" s="6">
        <f t="shared" si="3"/>
        <v>78539</v>
      </c>
      <c r="B46" s="6">
        <f>LoonHeffing2020(Table1[[#This Row],[Belastbaar loon]])</f>
        <v>30553.082999999999</v>
      </c>
      <c r="C46" s="6">
        <f>AlgemeneHeffingsKorting2020(Table1[[#This Row],[Belastbaar loon]])</f>
        <v>0</v>
      </c>
      <c r="D46" s="6">
        <f>ArbeidsKorting2020(Table1[[#This Row],[Belastbaar loon]])</f>
        <v>1203.9000000000001</v>
      </c>
      <c r="E46" s="6">
        <f>MIN(Table1[[#This Row],[Belastbaar loon]]-Table1[[#This Row],[Loonheffing]]+Table1[[#This Row],[Algemene Heffingskorting]]+Table1[[#This Row],[Arbeidskorting]],Table1[[#This Row],[Belastbaar loon]])</f>
        <v>49189.817000000003</v>
      </c>
      <c r="F46" s="2">
        <f>(Table1[[#This Row],[Belastbaar loon]]-Table1[[#This Row],[Netto loon]])/Table1[[#This Row],[Belastbaar loon]]</f>
        <v>0.3736892881243713</v>
      </c>
      <c r="G46" s="16">
        <f>Table1[[#This Row],[Belastbaar loon]]-$A$33</f>
        <v>10032</v>
      </c>
      <c r="H46" s="16">
        <f>Table1[[#This Row],[Netto loon]]-$E$33</f>
        <v>4464.3506199999974</v>
      </c>
      <c r="I46" s="2">
        <f>(Table1[[#This Row],[Bruto tov vorige schijf]]-Table1[[#This Row],[Netto tov vorige schijf]])/MAX(Table1[[#This Row],[Bruto tov vorige schijf]],1)</f>
        <v>0.55498897328548669</v>
      </c>
    </row>
    <row r="47" spans="1:9" x14ac:dyDescent="0.25">
      <c r="A47" s="6">
        <f t="shared" si="3"/>
        <v>79311</v>
      </c>
      <c r="B47" s="6">
        <f>LoonHeffing2020(Table1[[#This Row],[Belastbaar loon]])</f>
        <v>30935.222999999998</v>
      </c>
      <c r="C47" s="6">
        <f>AlgemeneHeffingsKorting2020(Table1[[#This Row],[Belastbaar loon]])</f>
        <v>0</v>
      </c>
      <c r="D47" s="6">
        <f>ArbeidsKorting2020(Table1[[#This Row],[Belastbaar loon]])</f>
        <v>1157.5800000000002</v>
      </c>
      <c r="E47" s="6">
        <f>MIN(Table1[[#This Row],[Belastbaar loon]]-Table1[[#This Row],[Loonheffing]]+Table1[[#This Row],[Algemene Heffingskorting]]+Table1[[#This Row],[Arbeidskorting]],Table1[[#This Row],[Belastbaar loon]])</f>
        <v>49533.357000000004</v>
      </c>
      <c r="F47" s="2">
        <f>(Table1[[#This Row],[Belastbaar loon]]-Table1[[#This Row],[Netto loon]])/Table1[[#This Row],[Belastbaar loon]]</f>
        <v>0.37545413624843965</v>
      </c>
      <c r="G47" s="16">
        <f>Table1[[#This Row],[Belastbaar loon]]-$A$33</f>
        <v>10804</v>
      </c>
      <c r="H47" s="16">
        <f>Table1[[#This Row],[Netto loon]]-$E$33</f>
        <v>4807.8906199999983</v>
      </c>
      <c r="I47" s="2">
        <f>(Table1[[#This Row],[Bruto tov vorige schijf]]-Table1[[#This Row],[Netto tov vorige schijf]])/MAX(Table1[[#This Row],[Bruto tov vorige schijf]],1)</f>
        <v>0.5549897611995559</v>
      </c>
    </row>
    <row r="48" spans="1:9" x14ac:dyDescent="0.25">
      <c r="A48" s="6">
        <f t="shared" si="3"/>
        <v>80083</v>
      </c>
      <c r="B48" s="6">
        <f>LoonHeffing2020(Table1[[#This Row],[Belastbaar loon]])</f>
        <v>31317.363000000001</v>
      </c>
      <c r="C48" s="6">
        <f>AlgemeneHeffingsKorting2020(Table1[[#This Row],[Belastbaar loon]])</f>
        <v>0</v>
      </c>
      <c r="D48" s="6">
        <f>ArbeidsKorting2020(Table1[[#This Row],[Belastbaar loon]])</f>
        <v>1111.26</v>
      </c>
      <c r="E48" s="6">
        <f>MIN(Table1[[#This Row],[Belastbaar loon]]-Table1[[#This Row],[Loonheffing]]+Table1[[#This Row],[Algemene Heffingskorting]]+Table1[[#This Row],[Arbeidskorting]],Table1[[#This Row],[Belastbaar loon]])</f>
        <v>49876.897000000004</v>
      </c>
      <c r="F48" s="2">
        <f>(Table1[[#This Row],[Belastbaar loon]]-Table1[[#This Row],[Netto loon]])/Table1[[#This Row],[Belastbaar loon]]</f>
        <v>0.37718495810596503</v>
      </c>
      <c r="G48" s="16">
        <f>Table1[[#This Row],[Belastbaar loon]]-$A$33</f>
        <v>11576</v>
      </c>
      <c r="H48" s="16">
        <f>Table1[[#This Row],[Netto loon]]-$E$33</f>
        <v>5151.4306199999992</v>
      </c>
      <c r="I48" s="2">
        <f>(Table1[[#This Row],[Bruto tov vorige schijf]]-Table1[[#This Row],[Netto tov vorige schijf]])/MAX(Table1[[#This Row],[Bruto tov vorige schijf]],1)</f>
        <v>0.55499044402211484</v>
      </c>
    </row>
    <row r="49" spans="1:9" x14ac:dyDescent="0.25">
      <c r="A49" s="6">
        <f t="shared" si="3"/>
        <v>80854</v>
      </c>
      <c r="B49" s="6">
        <f>LoonHeffing2020(Table1[[#This Row],[Belastbaar loon]])</f>
        <v>31699.008000000002</v>
      </c>
      <c r="C49" s="6">
        <f>AlgemeneHeffingsKorting2020(Table1[[#This Row],[Belastbaar loon]])</f>
        <v>0</v>
      </c>
      <c r="D49" s="6">
        <f>ArbeidsKorting2020(Table1[[#This Row],[Belastbaar loon]])</f>
        <v>1065</v>
      </c>
      <c r="E49" s="6">
        <f>MIN(Table1[[#This Row],[Belastbaar loon]]-Table1[[#This Row],[Loonheffing]]+Table1[[#This Row],[Algemene Heffingskorting]]+Table1[[#This Row],[Arbeidskorting]],Table1[[#This Row],[Belastbaar loon]])</f>
        <v>50219.991999999998</v>
      </c>
      <c r="F49" s="2">
        <f>(Table1[[#This Row],[Belastbaar loon]]-Table1[[#This Row],[Netto loon]])/Table1[[#This Row],[Belastbaar loon]]</f>
        <v>0.37888055012739014</v>
      </c>
      <c r="G49" s="16">
        <f>Table1[[#This Row],[Belastbaar loon]]-$A$33</f>
        <v>12347</v>
      </c>
      <c r="H49" s="16">
        <f>Table1[[#This Row],[Netto loon]]-$E$33</f>
        <v>5494.5256199999931</v>
      </c>
      <c r="I49" s="2">
        <f>(Table1[[#This Row],[Bruto tov vorige schijf]]-Table1[[#This Row],[Netto tov vorige schijf]])/MAX(Table1[[#This Row],[Bruto tov vorige schijf]],1)</f>
        <v>0.55499104073864147</v>
      </c>
    </row>
    <row r="50" spans="1:9" x14ac:dyDescent="0.25">
      <c r="A50" s="6">
        <f t="shared" si="3"/>
        <v>81626</v>
      </c>
      <c r="B50" s="6">
        <f>LoonHeffing2020(Table1[[#This Row],[Belastbaar loon]])</f>
        <v>32081.148000000001</v>
      </c>
      <c r="C50" s="6">
        <f>AlgemeneHeffingsKorting2020(Table1[[#This Row],[Belastbaar loon]])</f>
        <v>0</v>
      </c>
      <c r="D50" s="6">
        <f>ArbeidsKorting2020(Table1[[#This Row],[Belastbaar loon]])</f>
        <v>1018.6800000000001</v>
      </c>
      <c r="E50" s="6">
        <f>MIN(Table1[[#This Row],[Belastbaar loon]]-Table1[[#This Row],[Loonheffing]]+Table1[[#This Row],[Algemene Heffingskorting]]+Table1[[#This Row],[Arbeidskorting]],Table1[[#This Row],[Belastbaar loon]])</f>
        <v>50563.531999999999</v>
      </c>
      <c r="F50" s="2">
        <f>(Table1[[#This Row],[Belastbaar loon]]-Table1[[#This Row],[Netto loon]])/Table1[[#This Row],[Belastbaar loon]]</f>
        <v>0.38054624751917282</v>
      </c>
      <c r="G50" s="16">
        <f>Table1[[#This Row],[Belastbaar loon]]-$A$33</f>
        <v>13119</v>
      </c>
      <c r="H50" s="16">
        <f>Table1[[#This Row],[Netto loon]]-$E$33</f>
        <v>5838.0656199999939</v>
      </c>
      <c r="I50" s="2">
        <f>(Table1[[#This Row],[Bruto tov vorige schijf]]-Table1[[#This Row],[Netto tov vorige schijf]])/MAX(Table1[[#This Row],[Bruto tov vorige schijf]],1)</f>
        <v>0.55499156795487503</v>
      </c>
    </row>
    <row r="51" spans="1:9" x14ac:dyDescent="0.25">
      <c r="A51" s="6">
        <f t="shared" si="3"/>
        <v>82398</v>
      </c>
      <c r="B51" s="6">
        <f>LoonHeffing2020(Table1[[#This Row],[Belastbaar loon]])</f>
        <v>32463.288</v>
      </c>
      <c r="C51" s="6">
        <f>AlgemeneHeffingsKorting2020(Table1[[#This Row],[Belastbaar loon]])</f>
        <v>0</v>
      </c>
      <c r="D51" s="6">
        <f>ArbeidsKorting2020(Table1[[#This Row],[Belastbaar loon]])</f>
        <v>972.36000000000013</v>
      </c>
      <c r="E51" s="6">
        <f>MIN(Table1[[#This Row],[Belastbaar loon]]-Table1[[#This Row],[Loonheffing]]+Table1[[#This Row],[Algemene Heffingskorting]]+Table1[[#This Row],[Arbeidskorting]],Table1[[#This Row],[Belastbaar loon]])</f>
        <v>50907.072</v>
      </c>
      <c r="F51" s="2">
        <f>(Table1[[#This Row],[Belastbaar loon]]-Table1[[#This Row],[Netto loon]])/Table1[[#This Row],[Belastbaar loon]]</f>
        <v>0.38218073254205198</v>
      </c>
      <c r="G51" s="16">
        <f>Table1[[#This Row],[Belastbaar loon]]-$A$33</f>
        <v>13891</v>
      </c>
      <c r="H51" s="16">
        <f>Table1[[#This Row],[Netto loon]]-$E$33</f>
        <v>6181.6056199999948</v>
      </c>
      <c r="I51" s="2">
        <f>(Table1[[#This Row],[Bruto tov vorige schijf]]-Table1[[#This Row],[Netto tov vorige schijf]])/MAX(Table1[[#This Row],[Bruto tov vorige schijf]],1)</f>
        <v>0.55499203657044172</v>
      </c>
    </row>
    <row r="52" spans="1:9" x14ac:dyDescent="0.25">
      <c r="A52" s="6">
        <f t="shared" si="3"/>
        <v>83170</v>
      </c>
      <c r="B52" s="6">
        <f>LoonHeffing2020(Table1[[#This Row],[Belastbaar loon]])</f>
        <v>32845.428</v>
      </c>
      <c r="C52" s="6">
        <f>AlgemeneHeffingsKorting2020(Table1[[#This Row],[Belastbaar loon]])</f>
        <v>0</v>
      </c>
      <c r="D52" s="6">
        <f>ArbeidsKorting2020(Table1[[#This Row],[Belastbaar loon]])</f>
        <v>926.04000000000008</v>
      </c>
      <c r="E52" s="6">
        <f>MIN(Table1[[#This Row],[Belastbaar loon]]-Table1[[#This Row],[Loonheffing]]+Table1[[#This Row],[Algemene Heffingskorting]]+Table1[[#This Row],[Arbeidskorting]],Table1[[#This Row],[Belastbaar loon]])</f>
        <v>51250.612000000001</v>
      </c>
      <c r="F52" s="2">
        <f>(Table1[[#This Row],[Belastbaar loon]]-Table1[[#This Row],[Netto loon]])/Table1[[#This Row],[Belastbaar loon]]</f>
        <v>0.38378487435373332</v>
      </c>
      <c r="G52" s="16">
        <f>Table1[[#This Row],[Belastbaar loon]]-$A$33</f>
        <v>14663</v>
      </c>
      <c r="H52" s="16">
        <f>Table1[[#This Row],[Netto loon]]-$E$33</f>
        <v>6525.1456199999957</v>
      </c>
      <c r="I52" s="2">
        <f>(Table1[[#This Row],[Bruto tov vorige schijf]]-Table1[[#This Row],[Netto tov vorige schijf]])/MAX(Table1[[#This Row],[Bruto tov vorige schijf]],1)</f>
        <v>0.55499245584123336</v>
      </c>
    </row>
    <row r="53" spans="1:9" x14ac:dyDescent="0.25">
      <c r="A53" s="6">
        <f t="shared" si="3"/>
        <v>83941</v>
      </c>
      <c r="B53" s="6">
        <f>LoonHeffing2020(Table1[[#This Row],[Belastbaar loon]])</f>
        <v>33227.072999999997</v>
      </c>
      <c r="C53" s="6">
        <f>AlgemeneHeffingsKorting2020(Table1[[#This Row],[Belastbaar loon]])</f>
        <v>0</v>
      </c>
      <c r="D53" s="6">
        <f>ArbeidsKorting2020(Table1[[#This Row],[Belastbaar loon]])</f>
        <v>879.78000000000009</v>
      </c>
      <c r="E53" s="6">
        <f>MIN(Table1[[#This Row],[Belastbaar loon]]-Table1[[#This Row],[Loonheffing]]+Table1[[#This Row],[Algemene Heffingskorting]]+Table1[[#This Row],[Arbeidskorting]],Table1[[#This Row],[Belastbaar loon]])</f>
        <v>51593.707000000002</v>
      </c>
      <c r="F53" s="2">
        <f>(Table1[[#This Row],[Belastbaar loon]]-Table1[[#This Row],[Netto loon]])/Table1[[#This Row],[Belastbaar loon]]</f>
        <v>0.385357489188835</v>
      </c>
      <c r="G53" s="16">
        <f>Table1[[#This Row],[Belastbaar loon]]-$A$33</f>
        <v>15434</v>
      </c>
      <c r="H53" s="16">
        <f>Table1[[#This Row],[Netto loon]]-$E$33</f>
        <v>6868.2406199999969</v>
      </c>
      <c r="I53" s="2">
        <f>(Table1[[#This Row],[Bruto tov vorige schijf]]-Table1[[#This Row],[Netto tov vorige schijf]])/MAX(Table1[[#This Row],[Bruto tov vorige schijf]],1)</f>
        <v>0.55499283270701072</v>
      </c>
    </row>
    <row r="54" spans="1:9" x14ac:dyDescent="0.25">
      <c r="A54" s="6">
        <f t="shared" si="3"/>
        <v>84713</v>
      </c>
      <c r="B54" s="6">
        <f>LoonHeffing2020(Table1[[#This Row],[Belastbaar loon]])</f>
        <v>33609.213000000003</v>
      </c>
      <c r="C54" s="6">
        <f>AlgemeneHeffingsKorting2020(Table1[[#This Row],[Belastbaar loon]])</f>
        <v>0</v>
      </c>
      <c r="D54" s="6">
        <f>ArbeidsKorting2020(Table1[[#This Row],[Belastbaar loon]])</f>
        <v>833.46000000000015</v>
      </c>
      <c r="E54" s="6">
        <f>MIN(Table1[[#This Row],[Belastbaar loon]]-Table1[[#This Row],[Loonheffing]]+Table1[[#This Row],[Algemene Heffingskorting]]+Table1[[#This Row],[Arbeidskorting]],Table1[[#This Row],[Belastbaar loon]])</f>
        <v>51937.246999999996</v>
      </c>
      <c r="F54" s="2">
        <f>(Table1[[#This Row],[Belastbaar loon]]-Table1[[#This Row],[Netto loon]])/Table1[[#This Row],[Belastbaar loon]]</f>
        <v>0.38690346227851691</v>
      </c>
      <c r="G54" s="16">
        <f>Table1[[#This Row],[Belastbaar loon]]-$A$33</f>
        <v>16206</v>
      </c>
      <c r="H54" s="16">
        <f>Table1[[#This Row],[Netto loon]]-$E$33</f>
        <v>7211.7806199999904</v>
      </c>
      <c r="I54" s="2">
        <f>(Table1[[#This Row],[Bruto tov vorige schijf]]-Table1[[#This Row],[Netto tov vorige schijf]])/MAX(Table1[[#This Row],[Bruto tov vorige schijf]],1)</f>
        <v>0.55499317413303773</v>
      </c>
    </row>
    <row r="55" spans="1:9" x14ac:dyDescent="0.25">
      <c r="A55" s="6">
        <f t="shared" si="3"/>
        <v>85485</v>
      </c>
      <c r="B55" s="6">
        <f>LoonHeffing2020(Table1[[#This Row],[Belastbaar loon]])</f>
        <v>33991.353000000003</v>
      </c>
      <c r="C55" s="6">
        <f>AlgemeneHeffingsKorting2020(Table1[[#This Row],[Belastbaar loon]])</f>
        <v>0</v>
      </c>
      <c r="D55" s="6">
        <f>ArbeidsKorting2020(Table1[[#This Row],[Belastbaar loon]])</f>
        <v>787.1400000000001</v>
      </c>
      <c r="E55" s="6">
        <f>MIN(Table1[[#This Row],[Belastbaar loon]]-Table1[[#This Row],[Loonheffing]]+Table1[[#This Row],[Algemene Heffingskorting]]+Table1[[#This Row],[Arbeidskorting]],Table1[[#This Row],[Belastbaar loon]])</f>
        <v>52280.786999999997</v>
      </c>
      <c r="F55" s="2">
        <f>(Table1[[#This Row],[Belastbaar loon]]-Table1[[#This Row],[Netto loon]])/Table1[[#This Row],[Belastbaar loon]]</f>
        <v>0.38842151254606078</v>
      </c>
      <c r="G55" s="16">
        <f>Table1[[#This Row],[Belastbaar loon]]-$A$33</f>
        <v>16978</v>
      </c>
      <c r="H55" s="16">
        <f>Table1[[#This Row],[Netto loon]]-$E$33</f>
        <v>7555.3206199999913</v>
      </c>
      <c r="I55" s="2">
        <f>(Table1[[#This Row],[Bruto tov vorige schijf]]-Table1[[#This Row],[Netto tov vorige schijf]])/MAX(Table1[[#This Row],[Bruto tov vorige schijf]],1)</f>
        <v>0.55499348450936559</v>
      </c>
    </row>
    <row r="56" spans="1:9" x14ac:dyDescent="0.25">
      <c r="A56" s="6">
        <f t="shared" si="3"/>
        <v>86257</v>
      </c>
      <c r="B56" s="6">
        <f>LoonHeffing2020(Table1[[#This Row],[Belastbaar loon]])</f>
        <v>34373.493000000002</v>
      </c>
      <c r="C56" s="6">
        <f>AlgemeneHeffingsKorting2020(Table1[[#This Row],[Belastbaar loon]])</f>
        <v>0</v>
      </c>
      <c r="D56" s="6">
        <f>ArbeidsKorting2020(Table1[[#This Row],[Belastbaar loon]])</f>
        <v>740.82000000000016</v>
      </c>
      <c r="E56" s="6">
        <f>MIN(Table1[[#This Row],[Belastbaar loon]]-Table1[[#This Row],[Loonheffing]]+Table1[[#This Row],[Algemene Heffingskorting]]+Table1[[#This Row],[Arbeidskorting]],Table1[[#This Row],[Belastbaar loon]])</f>
        <v>52624.326999999997</v>
      </c>
      <c r="F56" s="2">
        <f>(Table1[[#This Row],[Belastbaar loon]]-Table1[[#This Row],[Netto loon]])/Table1[[#This Row],[Belastbaar loon]]</f>
        <v>0.38991238971909531</v>
      </c>
      <c r="G56" s="16">
        <f>Table1[[#This Row],[Belastbaar loon]]-$A$33</f>
        <v>17750</v>
      </c>
      <c r="H56" s="16">
        <f>Table1[[#This Row],[Netto loon]]-$E$33</f>
        <v>7898.8606199999922</v>
      </c>
      <c r="I56" s="2">
        <f>(Table1[[#This Row],[Bruto tov vorige schijf]]-Table1[[#This Row],[Netto tov vorige schijf]])/MAX(Table1[[#This Row],[Bruto tov vorige schijf]],1)</f>
        <v>0.55499376788732435</v>
      </c>
    </row>
    <row r="57" spans="1:9" x14ac:dyDescent="0.25">
      <c r="A57" s="6">
        <f t="shared" si="3"/>
        <v>87028</v>
      </c>
      <c r="B57" s="6">
        <f>LoonHeffing2020(Table1[[#This Row],[Belastbaar loon]])</f>
        <v>34755.137999999999</v>
      </c>
      <c r="C57" s="6">
        <f>AlgemeneHeffingsKorting2020(Table1[[#This Row],[Belastbaar loon]])</f>
        <v>0</v>
      </c>
      <c r="D57" s="6">
        <f>ArbeidsKorting2020(Table1[[#This Row],[Belastbaar loon]])</f>
        <v>694.56000000000006</v>
      </c>
      <c r="E57" s="6">
        <f>MIN(Table1[[#This Row],[Belastbaar loon]]-Table1[[#This Row],[Loonheffing]]+Table1[[#This Row],[Algemene Heffingskorting]]+Table1[[#This Row],[Arbeidskorting]],Table1[[#This Row],[Belastbaar loon]])</f>
        <v>52967.421999999999</v>
      </c>
      <c r="F57" s="2">
        <f>(Table1[[#This Row],[Belastbaar loon]]-Table1[[#This Row],[Netto loon]])/Table1[[#This Row],[Belastbaar loon]]</f>
        <v>0.39137493680194879</v>
      </c>
      <c r="G57" s="16">
        <f>Table1[[#This Row],[Belastbaar loon]]-$A$33</f>
        <v>18521</v>
      </c>
      <c r="H57" s="16">
        <f>Table1[[#This Row],[Netto loon]]-$E$33</f>
        <v>8241.9556199999934</v>
      </c>
      <c r="I57" s="2">
        <f>(Table1[[#This Row],[Bruto tov vorige schijf]]-Table1[[#This Row],[Netto tov vorige schijf]])/MAX(Table1[[#This Row],[Bruto tov vorige schijf]],1)</f>
        <v>0.55499402732033942</v>
      </c>
    </row>
    <row r="58" spans="1:9" x14ac:dyDescent="0.25">
      <c r="A58" s="6">
        <f t="shared" si="3"/>
        <v>87800</v>
      </c>
      <c r="B58" s="6">
        <f>LoonHeffing2020(Table1[[#This Row],[Belastbaar loon]])</f>
        <v>35137.277999999998</v>
      </c>
      <c r="C58" s="6">
        <f>AlgemeneHeffingsKorting2020(Table1[[#This Row],[Belastbaar loon]])</f>
        <v>0</v>
      </c>
      <c r="D58" s="6">
        <f>ArbeidsKorting2020(Table1[[#This Row],[Belastbaar loon]])</f>
        <v>648.24000000000012</v>
      </c>
      <c r="E58" s="6">
        <f>MIN(Table1[[#This Row],[Belastbaar loon]]-Table1[[#This Row],[Loonheffing]]+Table1[[#This Row],[Algemene Heffingskorting]]+Table1[[#This Row],[Arbeidskorting]],Table1[[#This Row],[Belastbaar loon]])</f>
        <v>53310.962</v>
      </c>
      <c r="F58" s="2">
        <f>(Table1[[#This Row],[Belastbaar loon]]-Table1[[#This Row],[Netto loon]])/Table1[[#This Row],[Belastbaar loon]]</f>
        <v>0.39281364464692481</v>
      </c>
      <c r="G58" s="16">
        <f>Table1[[#This Row],[Belastbaar loon]]-$A$33</f>
        <v>19293</v>
      </c>
      <c r="H58" s="16">
        <f>Table1[[#This Row],[Netto loon]]-$E$33</f>
        <v>8585.4956199999942</v>
      </c>
      <c r="I58" s="2">
        <f>(Table1[[#This Row],[Bruto tov vorige schijf]]-Table1[[#This Row],[Netto tov vorige schijf]])/MAX(Table1[[#This Row],[Bruto tov vorige schijf]],1)</f>
        <v>0.55499426631420756</v>
      </c>
    </row>
    <row r="59" spans="1:9" x14ac:dyDescent="0.25">
      <c r="A59" s="6">
        <f t="shared" si="3"/>
        <v>88572</v>
      </c>
      <c r="B59" s="6">
        <f>LoonHeffing2020(Table1[[#This Row],[Belastbaar loon]])</f>
        <v>35519.417999999998</v>
      </c>
      <c r="C59" s="6">
        <f>AlgemeneHeffingsKorting2020(Table1[[#This Row],[Belastbaar loon]])</f>
        <v>0</v>
      </c>
      <c r="D59" s="6">
        <f>ArbeidsKorting2020(Table1[[#This Row],[Belastbaar loon]])</f>
        <v>601.92000000000007</v>
      </c>
      <c r="E59" s="6">
        <f>MIN(Table1[[#This Row],[Belastbaar loon]]-Table1[[#This Row],[Loonheffing]]+Table1[[#This Row],[Algemene Heffingskorting]]+Table1[[#This Row],[Arbeidskorting]],Table1[[#This Row],[Belastbaar loon]])</f>
        <v>53654.502</v>
      </c>
      <c r="F59" s="2">
        <f>(Table1[[#This Row],[Belastbaar loon]]-Table1[[#This Row],[Netto loon]])/Table1[[#This Row],[Belastbaar loon]]</f>
        <v>0.3942272727272727</v>
      </c>
      <c r="G59" s="16">
        <f>Table1[[#This Row],[Belastbaar loon]]-$A$33</f>
        <v>20065</v>
      </c>
      <c r="H59" s="16">
        <f>Table1[[#This Row],[Netto loon]]-$E$33</f>
        <v>8929.0356199999951</v>
      </c>
      <c r="I59" s="2">
        <f>(Table1[[#This Row],[Bruto tov vorige schijf]]-Table1[[#This Row],[Netto tov vorige schijf]])/MAX(Table1[[#This Row],[Bruto tov vorige schijf]],1)</f>
        <v>0.55499448691751829</v>
      </c>
    </row>
    <row r="60" spans="1:9" x14ac:dyDescent="0.25">
      <c r="A60" s="6">
        <f t="shared" si="3"/>
        <v>89343</v>
      </c>
      <c r="B60" s="6">
        <f>LoonHeffing2020(Table1[[#This Row],[Belastbaar loon]])</f>
        <v>35901.063000000002</v>
      </c>
      <c r="C60" s="6">
        <f>AlgemeneHeffingsKorting2020(Table1[[#This Row],[Belastbaar loon]])</f>
        <v>0</v>
      </c>
      <c r="D60" s="6">
        <f>ArbeidsKorting2020(Table1[[#This Row],[Belastbaar loon]])</f>
        <v>555.66000000000008</v>
      </c>
      <c r="E60" s="6">
        <f>MIN(Table1[[#This Row],[Belastbaar loon]]-Table1[[#This Row],[Loonheffing]]+Table1[[#This Row],[Algemene Heffingskorting]]+Table1[[#This Row],[Arbeidskorting]],Table1[[#This Row],[Belastbaar loon]])</f>
        <v>53997.597000000002</v>
      </c>
      <c r="F60" s="2">
        <f>(Table1[[#This Row],[Belastbaar loon]]-Table1[[#This Row],[Netto loon]])/Table1[[#This Row],[Belastbaar loon]]</f>
        <v>0.39561468721668175</v>
      </c>
      <c r="G60" s="16">
        <f>Table1[[#This Row],[Belastbaar loon]]-$A$33</f>
        <v>20836</v>
      </c>
      <c r="H60" s="16">
        <f>Table1[[#This Row],[Netto loon]]-$E$33</f>
        <v>9272.1306199999963</v>
      </c>
      <c r="I60" s="2">
        <f>(Table1[[#This Row],[Bruto tov vorige schijf]]-Table1[[#This Row],[Netto tov vorige schijf]])/MAX(Table1[[#This Row],[Bruto tov vorige schijf]],1)</f>
        <v>0.55499469091956244</v>
      </c>
    </row>
    <row r="61" spans="1:9" x14ac:dyDescent="0.25">
      <c r="A61" s="6">
        <f t="shared" si="3"/>
        <v>90115</v>
      </c>
      <c r="B61" s="6">
        <f>LoonHeffing2020(Table1[[#This Row],[Belastbaar loon]])</f>
        <v>36283.203000000001</v>
      </c>
      <c r="C61" s="6">
        <f>AlgemeneHeffingsKorting2020(Table1[[#This Row],[Belastbaar loon]])</f>
        <v>0</v>
      </c>
      <c r="D61" s="6">
        <f>ArbeidsKorting2020(Table1[[#This Row],[Belastbaar loon]])</f>
        <v>509.34000000000015</v>
      </c>
      <c r="E61" s="6">
        <f>MIN(Table1[[#This Row],[Belastbaar loon]]-Table1[[#This Row],[Loonheffing]]+Table1[[#This Row],[Algemene Heffingskorting]]+Table1[[#This Row],[Arbeidskorting]],Table1[[#This Row],[Belastbaar loon]])</f>
        <v>54341.137000000002</v>
      </c>
      <c r="F61" s="2">
        <f>(Table1[[#This Row],[Belastbaar loon]]-Table1[[#This Row],[Netto loon]])/Table1[[#This Row],[Belastbaar loon]]</f>
        <v>0.39698011429839647</v>
      </c>
      <c r="G61" s="16">
        <f>Table1[[#This Row],[Belastbaar loon]]-$A$33</f>
        <v>21608</v>
      </c>
      <c r="H61" s="16">
        <f>Table1[[#This Row],[Netto loon]]-$E$33</f>
        <v>9615.6706199999971</v>
      </c>
      <c r="I61" s="2">
        <f>(Table1[[#This Row],[Bruto tov vorige schijf]]-Table1[[#This Row],[Netto tov vorige schijf]])/MAX(Table1[[#This Row],[Bruto tov vorige schijf]],1)</f>
        <v>0.55499488059977797</v>
      </c>
    </row>
    <row r="62" spans="1:9" x14ac:dyDescent="0.25">
      <c r="A62" s="6">
        <f t="shared" si="3"/>
        <v>90887</v>
      </c>
      <c r="B62" s="6">
        <f>LoonHeffing2020(Table1[[#This Row],[Belastbaar loon]])</f>
        <v>36665.343000000001</v>
      </c>
      <c r="C62" s="6">
        <f>AlgemeneHeffingsKorting2020(Table1[[#This Row],[Belastbaar loon]])</f>
        <v>0</v>
      </c>
      <c r="D62" s="6">
        <f>ArbeidsKorting2020(Table1[[#This Row],[Belastbaar loon]])</f>
        <v>463.02000000000015</v>
      </c>
      <c r="E62" s="6">
        <f>MIN(Table1[[#This Row],[Belastbaar loon]]-Table1[[#This Row],[Loonheffing]]+Table1[[#This Row],[Algemene Heffingskorting]]+Table1[[#This Row],[Arbeidskorting]],Table1[[#This Row],[Belastbaar loon]])</f>
        <v>54684.676999999996</v>
      </c>
      <c r="F62" s="2">
        <f>(Table1[[#This Row],[Belastbaar loon]]-Table1[[#This Row],[Netto loon]])/Table1[[#This Row],[Belastbaar loon]]</f>
        <v>0.39832234532991523</v>
      </c>
      <c r="G62" s="16">
        <f>Table1[[#This Row],[Belastbaar loon]]-$A$33</f>
        <v>22380</v>
      </c>
      <c r="H62" s="16">
        <f>Table1[[#This Row],[Netto loon]]-$E$33</f>
        <v>9959.2106199999907</v>
      </c>
      <c r="I62" s="2">
        <f>(Table1[[#This Row],[Bruto tov vorige schijf]]-Table1[[#This Row],[Netto tov vorige schijf]])/MAX(Table1[[#This Row],[Bruto tov vorige schijf]],1)</f>
        <v>0.55499505719392361</v>
      </c>
    </row>
    <row r="63" spans="1:9" x14ac:dyDescent="0.25">
      <c r="A63" s="6">
        <f t="shared" si="3"/>
        <v>91659</v>
      </c>
      <c r="B63" s="6">
        <f>LoonHeffing2020(Table1[[#This Row],[Belastbaar loon]])</f>
        <v>37047.483</v>
      </c>
      <c r="C63" s="6">
        <f>AlgemeneHeffingsKorting2020(Table1[[#This Row],[Belastbaar loon]])</f>
        <v>0</v>
      </c>
      <c r="D63" s="6">
        <f>ArbeidsKorting2020(Table1[[#This Row],[Belastbaar loon]])</f>
        <v>416.7000000000001</v>
      </c>
      <c r="E63" s="6">
        <f>MIN(Table1[[#This Row],[Belastbaar loon]]-Table1[[#This Row],[Loonheffing]]+Table1[[#This Row],[Algemene Heffingskorting]]+Table1[[#This Row],[Arbeidskorting]],Table1[[#This Row],[Belastbaar loon]])</f>
        <v>55028.216999999997</v>
      </c>
      <c r="F63" s="2">
        <f>(Table1[[#This Row],[Belastbaar loon]]-Table1[[#This Row],[Netto loon]])/Table1[[#This Row],[Belastbaar loon]]</f>
        <v>0.39964196641900962</v>
      </c>
      <c r="G63" s="16">
        <f>Table1[[#This Row],[Belastbaar loon]]-$A$33</f>
        <v>23152</v>
      </c>
      <c r="H63" s="16">
        <f>Table1[[#This Row],[Netto loon]]-$E$33</f>
        <v>10302.750619999992</v>
      </c>
      <c r="I63" s="2">
        <f>(Table1[[#This Row],[Bruto tov vorige schijf]]-Table1[[#This Row],[Netto tov vorige schijf]])/MAX(Table1[[#This Row],[Bruto tov vorige schijf]],1)</f>
        <v>0.55499522201105778</v>
      </c>
    </row>
    <row r="64" spans="1:9" x14ac:dyDescent="0.25">
      <c r="A64" s="6">
        <f t="shared" si="3"/>
        <v>92430</v>
      </c>
      <c r="B64" s="6">
        <f>LoonHeffing2020(Table1[[#This Row],[Belastbaar loon]])</f>
        <v>37429.127999999997</v>
      </c>
      <c r="C64" s="6">
        <f>AlgemeneHeffingsKorting2020(Table1[[#This Row],[Belastbaar loon]])</f>
        <v>0</v>
      </c>
      <c r="D64" s="6">
        <f>ArbeidsKorting2020(Table1[[#This Row],[Belastbaar loon]])</f>
        <v>370.44000000000011</v>
      </c>
      <c r="E64" s="6">
        <f>MIN(Table1[[#This Row],[Belastbaar loon]]-Table1[[#This Row],[Loonheffing]]+Table1[[#This Row],[Algemene Heffingskorting]]+Table1[[#This Row],[Arbeidskorting]],Table1[[#This Row],[Belastbaar loon]])</f>
        <v>55371.312000000005</v>
      </c>
      <c r="F64" s="2">
        <f>(Table1[[#This Row],[Belastbaar loon]]-Table1[[#This Row],[Netto loon]])/Table1[[#This Row],[Belastbaar loon]]</f>
        <v>0.40093787731256081</v>
      </c>
      <c r="G64" s="16">
        <f>Table1[[#This Row],[Belastbaar loon]]-$A$33</f>
        <v>23923</v>
      </c>
      <c r="H64" s="16">
        <f>Table1[[#This Row],[Netto loon]]-$E$33</f>
        <v>10645.84562</v>
      </c>
      <c r="I64" s="2">
        <f>(Table1[[#This Row],[Bruto tov vorige schijf]]-Table1[[#This Row],[Netto tov vorige schijf]])/MAX(Table1[[#This Row],[Bruto tov vorige schijf]],1)</f>
        <v>0.55499537599799353</v>
      </c>
    </row>
    <row r="65" spans="1:9" x14ac:dyDescent="0.25">
      <c r="A65" s="6">
        <f t="shared" si="3"/>
        <v>93202</v>
      </c>
      <c r="B65" s="6">
        <f>LoonHeffing2020(Table1[[#This Row],[Belastbaar loon]])</f>
        <v>37811.267999999996</v>
      </c>
      <c r="C65" s="6">
        <f>AlgemeneHeffingsKorting2020(Table1[[#This Row],[Belastbaar loon]])</f>
        <v>0</v>
      </c>
      <c r="D65" s="6">
        <f>ArbeidsKorting2020(Table1[[#This Row],[Belastbaar loon]])</f>
        <v>324.12000000000012</v>
      </c>
      <c r="E65" s="6">
        <f>MIN(Table1[[#This Row],[Belastbaar loon]]-Table1[[#This Row],[Loonheffing]]+Table1[[#This Row],[Algemene Heffingskorting]]+Table1[[#This Row],[Arbeidskorting]],Table1[[#This Row],[Belastbaar loon]])</f>
        <v>55714.852000000006</v>
      </c>
      <c r="F65" s="2">
        <f>(Table1[[#This Row],[Belastbaar loon]]-Table1[[#This Row],[Netto loon]])/Table1[[#This Row],[Belastbaar loon]]</f>
        <v>0.40221398682431703</v>
      </c>
      <c r="G65" s="16">
        <f>Table1[[#This Row],[Belastbaar loon]]-$A$33</f>
        <v>24695</v>
      </c>
      <c r="H65" s="16">
        <f>Table1[[#This Row],[Netto loon]]-$E$33</f>
        <v>10989.385620000001</v>
      </c>
      <c r="I65" s="2">
        <f>(Table1[[#This Row],[Bruto tov vorige schijf]]-Table1[[#This Row],[Netto tov vorige schijf]])/MAX(Table1[[#This Row],[Bruto tov vorige schijf]],1)</f>
        <v>0.55499552055071877</v>
      </c>
    </row>
    <row r="66" spans="1:9" x14ac:dyDescent="0.25">
      <c r="A66" s="6">
        <f t="shared" si="3"/>
        <v>93974</v>
      </c>
      <c r="B66" s="6">
        <f>LoonHeffing2020(Table1[[#This Row],[Belastbaar loon]])</f>
        <v>38193.408000000003</v>
      </c>
      <c r="C66" s="6">
        <f>AlgemeneHeffingsKorting2020(Table1[[#This Row],[Belastbaar loon]])</f>
        <v>0</v>
      </c>
      <c r="D66" s="6">
        <f>ArbeidsKorting2020(Table1[[#This Row],[Belastbaar loon]])</f>
        <v>277.80000000000013</v>
      </c>
      <c r="E66" s="6">
        <f>MIN(Table1[[#This Row],[Belastbaar loon]]-Table1[[#This Row],[Loonheffing]]+Table1[[#This Row],[Algemene Heffingskorting]]+Table1[[#This Row],[Arbeidskorting]],Table1[[#This Row],[Belastbaar loon]])</f>
        <v>56058.392</v>
      </c>
      <c r="F66" s="2">
        <f>(Table1[[#This Row],[Belastbaar loon]]-Table1[[#This Row],[Netto loon]])/Table1[[#This Row],[Belastbaar loon]]</f>
        <v>0.40346912975929511</v>
      </c>
      <c r="G66" s="16">
        <f>Table1[[#This Row],[Belastbaar loon]]-$A$33</f>
        <v>25467</v>
      </c>
      <c r="H66" s="16">
        <f>Table1[[#This Row],[Netto loon]]-$E$33</f>
        <v>11332.925619999995</v>
      </c>
      <c r="I66" s="2">
        <f>(Table1[[#This Row],[Bruto tov vorige schijf]]-Table1[[#This Row],[Netto tov vorige schijf]])/MAX(Table1[[#This Row],[Bruto tov vorige schijf]],1)</f>
        <v>0.55499565633957693</v>
      </c>
    </row>
    <row r="67" spans="1:9" x14ac:dyDescent="0.25">
      <c r="A67" s="6">
        <f t="shared" si="3"/>
        <v>94745</v>
      </c>
      <c r="B67" s="6">
        <f>LoonHeffing2020(Table1[[#This Row],[Belastbaar loon]])</f>
        <v>38575.053</v>
      </c>
      <c r="C67" s="6">
        <f>AlgemeneHeffingsKorting2020(Table1[[#This Row],[Belastbaar loon]])</f>
        <v>0</v>
      </c>
      <c r="D67" s="6">
        <f>ArbeidsKorting2020(Table1[[#This Row],[Belastbaar loon]])</f>
        <v>231.54000000000013</v>
      </c>
      <c r="E67" s="6">
        <f>MIN(Table1[[#This Row],[Belastbaar loon]]-Table1[[#This Row],[Loonheffing]]+Table1[[#This Row],[Algemene Heffingskorting]]+Table1[[#This Row],[Arbeidskorting]],Table1[[#This Row],[Belastbaar loon]])</f>
        <v>56401.487000000001</v>
      </c>
      <c r="F67" s="2">
        <f>(Table1[[#This Row],[Belastbaar loon]]-Table1[[#This Row],[Netto loon]])/Table1[[#This Row],[Belastbaar loon]]</f>
        <v>0.40470223230777347</v>
      </c>
      <c r="G67" s="16">
        <f>Table1[[#This Row],[Belastbaar loon]]-$A$33</f>
        <v>26238</v>
      </c>
      <c r="H67" s="16">
        <f>Table1[[#This Row],[Netto loon]]-$E$33</f>
        <v>11676.020619999996</v>
      </c>
      <c r="I67" s="2">
        <f>(Table1[[#This Row],[Bruto tov vorige schijf]]-Table1[[#This Row],[Netto tov vorige schijf]])/MAX(Table1[[#This Row],[Bruto tov vorige schijf]],1)</f>
        <v>0.55499578397743743</v>
      </c>
    </row>
    <row r="68" spans="1:9" x14ac:dyDescent="0.25">
      <c r="A68" s="6">
        <f t="shared" si="3"/>
        <v>95517</v>
      </c>
      <c r="B68" s="6">
        <f>LoonHeffing2020(Table1[[#This Row],[Belastbaar loon]])</f>
        <v>38957.192999999999</v>
      </c>
      <c r="C68" s="6">
        <f>AlgemeneHeffingsKorting2020(Table1[[#This Row],[Belastbaar loon]])</f>
        <v>0</v>
      </c>
      <c r="D68" s="6">
        <f>ArbeidsKorting2020(Table1[[#This Row],[Belastbaar loon]])</f>
        <v>185.22000000000014</v>
      </c>
      <c r="E68" s="6">
        <f>MIN(Table1[[#This Row],[Belastbaar loon]]-Table1[[#This Row],[Loonheffing]]+Table1[[#This Row],[Algemene Heffingskorting]]+Table1[[#This Row],[Arbeidskorting]],Table1[[#This Row],[Belastbaar loon]])</f>
        <v>56745.027000000002</v>
      </c>
      <c r="F68" s="2">
        <f>(Table1[[#This Row],[Belastbaar loon]]-Table1[[#This Row],[Netto loon]])/Table1[[#This Row],[Belastbaar loon]]</f>
        <v>0.40591698859888814</v>
      </c>
      <c r="G68" s="16">
        <f>Table1[[#This Row],[Belastbaar loon]]-$A$33</f>
        <v>27010</v>
      </c>
      <c r="H68" s="16">
        <f>Table1[[#This Row],[Netto loon]]-$E$33</f>
        <v>12019.560619999997</v>
      </c>
      <c r="I68" s="2">
        <f>(Table1[[#This Row],[Bruto tov vorige schijf]]-Table1[[#This Row],[Netto tov vorige schijf]])/MAX(Table1[[#This Row],[Bruto tov vorige schijf]],1)</f>
        <v>0.55499590447982239</v>
      </c>
    </row>
    <row r="69" spans="1:9" x14ac:dyDescent="0.25">
      <c r="A69" s="6">
        <f t="shared" si="3"/>
        <v>96289</v>
      </c>
      <c r="B69" s="6">
        <f>LoonHeffing2020(Table1[[#This Row],[Belastbaar loon]])</f>
        <v>39339.332999999999</v>
      </c>
      <c r="C69" s="6">
        <f>AlgemeneHeffingsKorting2020(Table1[[#This Row],[Belastbaar loon]])</f>
        <v>0</v>
      </c>
      <c r="D69" s="6">
        <f>ArbeidsKorting2020(Table1[[#This Row],[Belastbaar loon]])</f>
        <v>138.90000000000015</v>
      </c>
      <c r="E69" s="6">
        <f>MIN(Table1[[#This Row],[Belastbaar loon]]-Table1[[#This Row],[Loonheffing]]+Table1[[#This Row],[Algemene Heffingskorting]]+Table1[[#This Row],[Arbeidskorting]],Table1[[#This Row],[Belastbaar loon]])</f>
        <v>57088.567000000003</v>
      </c>
      <c r="F69" s="2">
        <f>(Table1[[#This Row],[Belastbaar loon]]-Table1[[#This Row],[Netto loon]])/Table1[[#This Row],[Belastbaar loon]]</f>
        <v>0.40711226619863117</v>
      </c>
      <c r="G69" s="16">
        <f>Table1[[#This Row],[Belastbaar loon]]-$A$33</f>
        <v>27782</v>
      </c>
      <c r="H69" s="16">
        <f>Table1[[#This Row],[Netto loon]]-$E$33</f>
        <v>12363.100619999997</v>
      </c>
      <c r="I69" s="2">
        <f>(Table1[[#This Row],[Bruto tov vorige schijf]]-Table1[[#This Row],[Netto tov vorige schijf]])/MAX(Table1[[#This Row],[Bruto tov vorige schijf]],1)</f>
        <v>0.55499601828522072</v>
      </c>
    </row>
    <row r="70" spans="1:9" x14ac:dyDescent="0.25">
      <c r="A70" s="6">
        <f t="shared" si="3"/>
        <v>97061</v>
      </c>
      <c r="B70" s="6">
        <f>LoonHeffing2020(Table1[[#This Row],[Belastbaar loon]])</f>
        <v>39721.472999999998</v>
      </c>
      <c r="C70" s="6">
        <f>AlgemeneHeffingsKorting2020(Table1[[#This Row],[Belastbaar loon]])</f>
        <v>0</v>
      </c>
      <c r="D70" s="6">
        <f>ArbeidsKorting2020(Table1[[#This Row],[Belastbaar loon]])</f>
        <v>92.58000000000014</v>
      </c>
      <c r="E70" s="6">
        <f>MIN(Table1[[#This Row],[Belastbaar loon]]-Table1[[#This Row],[Loonheffing]]+Table1[[#This Row],[Algemene Heffingskorting]]+Table1[[#This Row],[Arbeidskorting]],Table1[[#This Row],[Belastbaar loon]])</f>
        <v>57432.107000000004</v>
      </c>
      <c r="F70" s="2">
        <f>(Table1[[#This Row],[Belastbaar loon]]-Table1[[#This Row],[Netto loon]])/Table1[[#This Row],[Belastbaar loon]]</f>
        <v>0.40828852989357206</v>
      </c>
      <c r="G70" s="16">
        <f>Table1[[#This Row],[Belastbaar loon]]-$A$33</f>
        <v>28554</v>
      </c>
      <c r="H70" s="16">
        <f>Table1[[#This Row],[Netto loon]]-$E$33</f>
        <v>12706.640619999998</v>
      </c>
      <c r="I70" s="2">
        <f>(Table1[[#This Row],[Bruto tov vorige schijf]]-Table1[[#This Row],[Netto tov vorige schijf]])/MAX(Table1[[#This Row],[Bruto tov vorige schijf]],1)</f>
        <v>0.55499612593682157</v>
      </c>
    </row>
    <row r="71" spans="1:9" x14ac:dyDescent="0.25">
      <c r="A71" s="6">
        <f t="shared" si="3"/>
        <v>97832</v>
      </c>
      <c r="B71" s="6">
        <f>LoonHeffing2020(Table1[[#This Row],[Belastbaar loon]])</f>
        <v>40103.118000000002</v>
      </c>
      <c r="C71" s="6">
        <f>AlgemeneHeffingsKorting2020(Table1[[#This Row],[Belastbaar loon]])</f>
        <v>0</v>
      </c>
      <c r="D71" s="6">
        <f>ArbeidsKorting2020(Table1[[#This Row],[Belastbaar loon]])</f>
        <v>46.320000000000142</v>
      </c>
      <c r="E71" s="6">
        <f>MIN(Table1[[#This Row],[Belastbaar loon]]-Table1[[#This Row],[Loonheffing]]+Table1[[#This Row],[Algemene Heffingskorting]]+Table1[[#This Row],[Arbeidskorting]],Table1[[#This Row],[Belastbaar loon]])</f>
        <v>57775.201999999997</v>
      </c>
      <c r="F71" s="2">
        <f>(Table1[[#This Row],[Belastbaar loon]]-Table1[[#This Row],[Netto loon]])/Table1[[#This Row],[Belastbaar loon]]</f>
        <v>0.40944474200670539</v>
      </c>
      <c r="G71" s="16">
        <f>Table1[[#This Row],[Belastbaar loon]]-$A$33</f>
        <v>29325</v>
      </c>
      <c r="H71" s="16">
        <f>Table1[[#This Row],[Netto loon]]-$E$33</f>
        <v>13049.735619999992</v>
      </c>
      <c r="I71" s="2">
        <f>(Table1[[#This Row],[Bruto tov vorige schijf]]-Table1[[#This Row],[Netto tov vorige schijf]])/MAX(Table1[[#This Row],[Bruto tov vorige schijf]],1)</f>
        <v>0.55499622779198665</v>
      </c>
    </row>
    <row r="72" spans="1:9" x14ac:dyDescent="0.25">
      <c r="A72" s="14">
        <v>98604</v>
      </c>
      <c r="B72" s="14">
        <f>LoonHeffing2020(Table1[[#This Row],[Belastbaar loon]])</f>
        <v>40485.258000000002</v>
      </c>
      <c r="C72" s="14">
        <f>AlgemeneHeffingsKorting2020(Table1[[#This Row],[Belastbaar loon]])</f>
        <v>0</v>
      </c>
      <c r="D72" s="14">
        <f>ArbeidsKorting2020(Table1[[#This Row],[Belastbaar loon]])</f>
        <v>0</v>
      </c>
      <c r="E72" s="14">
        <f>MIN(Table1[[#This Row],[Belastbaar loon]]-Table1[[#This Row],[Loonheffing]]+Table1[[#This Row],[Algemene Heffingskorting]]+Table1[[#This Row],[Arbeidskorting]],Table1[[#This Row],[Belastbaar loon]])</f>
        <v>58118.741999999998</v>
      </c>
      <c r="F72" s="15">
        <f>(Table1[[#This Row],[Belastbaar loon]]-Table1[[#This Row],[Netto loon]])/Table1[[#This Row],[Belastbaar loon]]</f>
        <v>0.41058433734939759</v>
      </c>
      <c r="G72" s="14">
        <f>Table1[[#This Row],[Belastbaar loon]]-$A$33</f>
        <v>30097</v>
      </c>
      <c r="H72" s="14">
        <f>Table1[[#This Row],[Netto loon]]-$E$33</f>
        <v>13393.275619999993</v>
      </c>
      <c r="I72" s="15">
        <f>(Table1[[#This Row],[Bruto tov vorige schijf]]-Table1[[#This Row],[Netto tov vorige schijf]])/MAX(Table1[[#This Row],[Bruto tov vorige schijf]],1)</f>
        <v>0.55499632455061987</v>
      </c>
    </row>
    <row r="73" spans="1:9" x14ac:dyDescent="0.25">
      <c r="A73" s="6">
        <v>100000</v>
      </c>
      <c r="B73" s="6">
        <f>LoonHeffing2020(Table1[[#This Row],[Belastbaar loon]])</f>
        <v>41176.277999999998</v>
      </c>
      <c r="C73" s="6">
        <f>AlgemeneHeffingsKorting2020(Table1[[#This Row],[Belastbaar loon]])</f>
        <v>0</v>
      </c>
      <c r="D73" s="6">
        <f>ArbeidsKorting2020(Table1[[#This Row],[Belastbaar loon]])</f>
        <v>0</v>
      </c>
      <c r="E73" s="6">
        <f>MIN(Table1[[#This Row],[Belastbaar loon]]-Table1[[#This Row],[Loonheffing]]+Table1[[#This Row],[Algemene Heffingskorting]]+Table1[[#This Row],[Arbeidskorting]],Table1[[#This Row],[Belastbaar loon]])</f>
        <v>58823.722000000002</v>
      </c>
      <c r="F73" s="2">
        <f>(Table1[[#This Row],[Belastbaar loon]]-Table1[[#This Row],[Netto loon]])/Table1[[#This Row],[Belastbaar loon]]</f>
        <v>0.41176277999999999</v>
      </c>
      <c r="G73" s="6">
        <f>Table1[[#This Row],[Belastbaar loon]]-A72</f>
        <v>1396</v>
      </c>
      <c r="H73" s="6">
        <f>Table1[[#This Row],[Netto loon]]-E72</f>
        <v>704.9800000000032</v>
      </c>
      <c r="I73" s="2">
        <f>(Table1[[#This Row],[Bruto tov vorige schijf]]-Table1[[#This Row],[Netto tov vorige schijf]])/MAX(Table1[[#This Row],[Bruto tov vorige schijf]],1)</f>
        <v>0.49499999999999772</v>
      </c>
    </row>
    <row r="74" spans="1:9" x14ac:dyDescent="0.25">
      <c r="A74" s="6">
        <v>150000</v>
      </c>
      <c r="B74" s="6">
        <f>LoonHeffing2020(Table1[[#This Row],[Belastbaar loon]])</f>
        <v>65926.278000000006</v>
      </c>
      <c r="C74" s="6">
        <f>AlgemeneHeffingsKorting2020(Table1[[#This Row],[Belastbaar loon]])</f>
        <v>0</v>
      </c>
      <c r="D74" s="6">
        <f>ArbeidsKorting2020(Table1[[#This Row],[Belastbaar loon]])</f>
        <v>0</v>
      </c>
      <c r="E74" s="6">
        <f>MIN(Table1[[#This Row],[Belastbaar loon]]-Table1[[#This Row],[Loonheffing]]+Table1[[#This Row],[Algemene Heffingskorting]]+Table1[[#This Row],[Arbeidskorting]],Table1[[#This Row],[Belastbaar loon]])</f>
        <v>84073.721999999994</v>
      </c>
      <c r="F74" s="2">
        <f>(Table1[[#This Row],[Belastbaar loon]]-Table1[[#This Row],[Netto loon]])/Table1[[#This Row],[Belastbaar loon]]</f>
        <v>0.43950852000000001</v>
      </c>
      <c r="G74" s="6">
        <f>Table1[[#This Row],[Belastbaar loon]]-A73</f>
        <v>50000</v>
      </c>
      <c r="H74" s="6">
        <f>Table1[[#This Row],[Netto loon]]-E73</f>
        <v>25249.999999999993</v>
      </c>
      <c r="I74" s="2">
        <f>(Table1[[#This Row],[Bruto tov vorige schijf]]-Table1[[#This Row],[Netto tov vorige schijf]])/MAX(Table1[[#This Row],[Bruto tov vorige schijf]],1)</f>
        <v>0.49500000000000016</v>
      </c>
    </row>
    <row r="75" spans="1:9" x14ac:dyDescent="0.25">
      <c r="A75" s="6">
        <v>250000</v>
      </c>
      <c r="B75" s="6">
        <f>LoonHeffing2020(Table1[[#This Row],[Belastbaar loon]])</f>
        <v>115426.27800000001</v>
      </c>
      <c r="C75" s="6">
        <f>AlgemeneHeffingsKorting2020(Table1[[#This Row],[Belastbaar loon]])</f>
        <v>0</v>
      </c>
      <c r="D75" s="6">
        <f>ArbeidsKorting2020(Table1[[#This Row],[Belastbaar loon]])</f>
        <v>0</v>
      </c>
      <c r="E75" s="6">
        <f>MIN(Table1[[#This Row],[Belastbaar loon]]-Table1[[#This Row],[Loonheffing]]+Table1[[#This Row],[Algemene Heffingskorting]]+Table1[[#This Row],[Arbeidskorting]],Table1[[#This Row],[Belastbaar loon]])</f>
        <v>134573.72200000001</v>
      </c>
      <c r="F75" s="2">
        <f>(Table1[[#This Row],[Belastbaar loon]]-Table1[[#This Row],[Netto loon]])/Table1[[#This Row],[Belastbaar loon]]</f>
        <v>0.46170511199999997</v>
      </c>
      <c r="G75" s="6"/>
      <c r="H75" s="6"/>
      <c r="I75" s="2">
        <f>(Table1[[#This Row],[Bruto tov vorige schijf]]-Table1[[#This Row],[Netto tov vorige schijf]])/MAX(Table1[[#This Row],[Bruto tov vorige schijf]],1)</f>
        <v>0</v>
      </c>
    </row>
    <row r="76" spans="1:9" x14ac:dyDescent="0.25">
      <c r="A76" s="6">
        <v>500000</v>
      </c>
      <c r="B76" s="6">
        <f>LoonHeffing2020(Table1[[#This Row],[Belastbaar loon]])</f>
        <v>239176.27799999999</v>
      </c>
      <c r="C76" s="6">
        <f>AlgemeneHeffingsKorting2020(Table1[[#This Row],[Belastbaar loon]])</f>
        <v>0</v>
      </c>
      <c r="D76" s="6">
        <f>ArbeidsKorting2020(Table1[[#This Row],[Belastbaar loon]])</f>
        <v>0</v>
      </c>
      <c r="E76" s="6">
        <f>MIN(Table1[[#This Row],[Belastbaar loon]]-Table1[[#This Row],[Loonheffing]]+Table1[[#This Row],[Algemene Heffingskorting]]+Table1[[#This Row],[Arbeidskorting]],Table1[[#This Row],[Belastbaar loon]])</f>
        <v>260823.72200000001</v>
      </c>
      <c r="F76" s="2">
        <f>(Table1[[#This Row],[Belastbaar loon]]-Table1[[#This Row],[Netto loon]])/Table1[[#This Row],[Belastbaar loon]]</f>
        <v>0.47835255599999998</v>
      </c>
      <c r="G76" s="6"/>
      <c r="H76" s="6"/>
      <c r="I76" s="2">
        <f>(Table1[[#This Row],[Bruto tov vorige schijf]]-Table1[[#This Row],[Netto tov vorige schijf]])/MAX(Table1[[#This Row],[Bruto tov vorige schijf]],1)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E6EF5-DE97-4ECC-B0AA-6FF2F7185D2B}">
  <dimension ref="A1:I9"/>
  <sheetViews>
    <sheetView workbookViewId="0">
      <selection activeCell="I7" sqref="I7"/>
    </sheetView>
  </sheetViews>
  <sheetFormatPr defaultRowHeight="15" x14ac:dyDescent="0.25"/>
  <cols>
    <col min="1" max="1" width="16.85546875" customWidth="1"/>
    <col min="2" max="2" width="13.85546875" customWidth="1"/>
    <col min="3" max="3" width="26.42578125" customWidth="1"/>
    <col min="4" max="4" width="16.28515625" customWidth="1"/>
    <col min="5" max="5" width="12.7109375" customWidth="1"/>
    <col min="6" max="6" width="29.28515625" customWidth="1"/>
    <col min="7" max="7" width="22.85546875" bestFit="1" customWidth="1"/>
    <col min="8" max="8" width="23.140625" bestFit="1" customWidth="1"/>
    <col min="9" max="9" width="27.140625" bestFit="1" customWidth="1"/>
  </cols>
  <sheetData>
    <row r="1" spans="1:9" x14ac:dyDescent="0.25">
      <c r="A1" t="s">
        <v>79</v>
      </c>
      <c r="B1" t="s">
        <v>5</v>
      </c>
      <c r="C1" t="s">
        <v>80</v>
      </c>
      <c r="D1" t="s">
        <v>6</v>
      </c>
      <c r="E1" t="s">
        <v>81</v>
      </c>
      <c r="F1" t="s">
        <v>41</v>
      </c>
      <c r="G1" t="s">
        <v>83</v>
      </c>
      <c r="H1" t="s">
        <v>82</v>
      </c>
      <c r="I1" t="s">
        <v>84</v>
      </c>
    </row>
    <row r="2" spans="1:9" x14ac:dyDescent="0.25">
      <c r="A2" s="6">
        <v>19902</v>
      </c>
      <c r="B2" s="6">
        <f>LoonHeffing2020(Table13[[#This Row],[Belastbaar loon]])</f>
        <v>7433.3969999999999</v>
      </c>
      <c r="C2" s="6">
        <f>AlgemeneHeffingsKorting2020(Table13[[#This Row],[Belastbaar loon]])</f>
        <v>2711</v>
      </c>
      <c r="D2" s="6">
        <f>ArbeidsKorting2020(Table13[[#This Row],[Belastbaar loon]])</f>
        <v>4722.12</v>
      </c>
      <c r="E2" s="6">
        <f>MIN(Table13[[#This Row],[Belastbaar loon]]-Table13[[#This Row],[Loonheffing]]+Table13[[#This Row],[Algemene Heffingskorting]]+Table13[[#This Row],[Arbeidskorting]],Table13[[#This Row],[Belastbaar loon]])</f>
        <v>19901.722999999998</v>
      </c>
      <c r="F2" s="2">
        <f>(Table13[[#This Row],[Belastbaar loon]]-Table13[[#This Row],[Netto loon]])/Table13[[#This Row],[Belastbaar loon]]</f>
        <v>1.3918199176055805E-5</v>
      </c>
      <c r="G2" s="6">
        <v>0</v>
      </c>
      <c r="H2" s="6">
        <v>0</v>
      </c>
      <c r="I2" s="2">
        <f>(Table13[[#This Row],[Bruto tov vorige schijf]]-Table13[[#This Row],[Netto tov vorige schijf]])/MAX(Table13[[#This Row],[Bruto tov vorige schijf]],1)</f>
        <v>0</v>
      </c>
    </row>
    <row r="3" spans="1:9" x14ac:dyDescent="0.25">
      <c r="A3" s="6">
        <v>20711</v>
      </c>
      <c r="B3" s="6">
        <f>LoonHeffing2020(Table13[[#This Row],[Belastbaar loon]])</f>
        <v>7735.5585000000001</v>
      </c>
      <c r="C3" s="6">
        <f>AlgemeneHeffingsKorting2020(Table13[[#This Row],[Belastbaar loon]])</f>
        <v>2711</v>
      </c>
      <c r="D3" s="6">
        <f>ArbeidsKorting2020(Table13[[#This Row],[Belastbaar loon]])</f>
        <v>4673.58</v>
      </c>
      <c r="E3" s="6">
        <f>MIN(Table13[[#This Row],[Belastbaar loon]]-Table13[[#This Row],[Loonheffing]]+Table13[[#This Row],[Algemene Heffingskorting]]+Table13[[#This Row],[Arbeidskorting]],Table13[[#This Row],[Belastbaar loon]])</f>
        <v>20360.021500000003</v>
      </c>
      <c r="F3" s="2">
        <f>(Table13[[#This Row],[Belastbaar loon]]-Table13[[#This Row],[Netto loon]])/Table13[[#This Row],[Belastbaar loon]]</f>
        <v>1.694647771715501E-2</v>
      </c>
      <c r="G3" s="6">
        <f>Table13[[#This Row],[Belastbaar loon]]-A2</f>
        <v>809</v>
      </c>
      <c r="H3" s="6">
        <f>Table13[[#This Row],[Netto loon]]-E2</f>
        <v>458.29850000000442</v>
      </c>
      <c r="I3" s="2">
        <f>(Table13[[#This Row],[Bruto tov vorige schijf]]-Table13[[#This Row],[Netto tov vorige schijf]])/MAX(Table13[[#This Row],[Bruto tov vorige schijf]],1)</f>
        <v>0.43349999999999456</v>
      </c>
    </row>
    <row r="4" spans="1:9" x14ac:dyDescent="0.25">
      <c r="A4" s="6">
        <v>21430</v>
      </c>
      <c r="B4" s="6">
        <f>LoonHeffing2020(Table13[[#This Row],[Belastbaar loon]])</f>
        <v>8004.1049999999996</v>
      </c>
      <c r="C4" s="6">
        <f>AlgemeneHeffingsKorting2020(Table13[[#This Row],[Belastbaar loon]])</f>
        <v>2670.2183199999999</v>
      </c>
      <c r="D4" s="6">
        <f>ArbeidsKorting2020(Table13[[#This Row],[Belastbaar loon]])</f>
        <v>4630.4399999999996</v>
      </c>
      <c r="E4" s="6">
        <f>MIN(Table13[[#This Row],[Belastbaar loon]]-Table13[[#This Row],[Loonheffing]]+Table13[[#This Row],[Algemene Heffingskorting]]+Table13[[#This Row],[Arbeidskorting]],Table13[[#This Row],[Belastbaar loon]])</f>
        <v>20726.553319999999</v>
      </c>
      <c r="F4" s="2">
        <f>(Table13[[#This Row],[Belastbaar loon]]-Table13[[#This Row],[Netto loon]])/Table13[[#This Row],[Belastbaar loon]]</f>
        <v>3.2825323378441483E-2</v>
      </c>
      <c r="G4" s="6">
        <f>Table13[[#This Row],[Belastbaar loon]]-A3</f>
        <v>719</v>
      </c>
      <c r="H4" s="6">
        <f>Table13[[#This Row],[Netto loon]]-E3</f>
        <v>366.53181999999651</v>
      </c>
      <c r="I4" s="2">
        <f>(Table13[[#This Row],[Bruto tov vorige schijf]]-Table13[[#This Row],[Netto tov vorige schijf]])/MAX(Table13[[#This Row],[Bruto tov vorige schijf]],1)</f>
        <v>0.49022000000000487</v>
      </c>
    </row>
    <row r="5" spans="1:9" x14ac:dyDescent="0.25">
      <c r="A5" s="6">
        <v>34954</v>
      </c>
      <c r="B5" s="6">
        <f>LoonHeffing2020(Table13[[#This Row],[Belastbaar loon]])</f>
        <v>13055.319</v>
      </c>
      <c r="C5" s="6">
        <f>AlgemeneHeffingsKorting2020(Table13[[#This Row],[Belastbaar loon]])</f>
        <v>1903.1370400000001</v>
      </c>
      <c r="D5" s="6">
        <f>ArbeidsKorting2020(Table13[[#This Row],[Belastbaar loon]])</f>
        <v>3819</v>
      </c>
      <c r="E5" s="6">
        <f>MIN(Table13[[#This Row],[Belastbaar loon]]-Table13[[#This Row],[Loonheffing]]+Table13[[#This Row],[Algemene Heffingskorting]]+Table13[[#This Row],[Arbeidskorting]],Table13[[#This Row],[Belastbaar loon]])</f>
        <v>27620.818040000002</v>
      </c>
      <c r="F5" s="2">
        <f>(Table13[[#This Row],[Belastbaar loon]]-Table13[[#This Row],[Netto loon]])/Table13[[#This Row],[Belastbaar loon]]</f>
        <v>0.20979521542598839</v>
      </c>
      <c r="G5" s="6">
        <f>Table13[[#This Row],[Belastbaar loon]]-A4</f>
        <v>13524</v>
      </c>
      <c r="H5" s="6">
        <f>Table13[[#This Row],[Netto loon]]-E4</f>
        <v>6894.2647200000029</v>
      </c>
      <c r="I5" s="2">
        <f>(Table13[[#This Row],[Bruto tov vorige schijf]]-Table13[[#This Row],[Netto tov vorige schijf]])/MAX(Table13[[#This Row],[Bruto tov vorige schijf]],1)</f>
        <v>0.49021999999999977</v>
      </c>
    </row>
    <row r="6" spans="1:9" x14ac:dyDescent="0.25">
      <c r="A6" s="6">
        <v>68507</v>
      </c>
      <c r="B6" s="6">
        <f>LoonHeffing2020(Table13[[#This Row],[Belastbaar loon]])</f>
        <v>25587.3645</v>
      </c>
      <c r="C6" s="6">
        <f>AlgemeneHeffingsKorting2020(Table13[[#This Row],[Belastbaar loon]])</f>
        <v>1.0880000000019763E-2</v>
      </c>
      <c r="D6" s="6">
        <f>ArbeidsKorting2020(Table13[[#This Row],[Belastbaar loon]])</f>
        <v>1805.8200000000002</v>
      </c>
      <c r="E6" s="6">
        <f>MIN(Table13[[#This Row],[Belastbaar loon]]-Table13[[#This Row],[Loonheffing]]+Table13[[#This Row],[Algemene Heffingskorting]]+Table13[[#This Row],[Arbeidskorting]],Table13[[#This Row],[Belastbaar loon]])</f>
        <v>44725.466380000005</v>
      </c>
      <c r="F6" s="2">
        <f>(Table13[[#This Row],[Belastbaar loon]]-Table13[[#This Row],[Netto loon]])/Table13[[#This Row],[Belastbaar loon]]</f>
        <v>0.34714019910374116</v>
      </c>
      <c r="G6" s="6">
        <f>Table13[[#This Row],[Belastbaar loon]]-A5</f>
        <v>33553</v>
      </c>
      <c r="H6" s="6">
        <f>Table13[[#This Row],[Netto loon]]-E5</f>
        <v>17104.648340000003</v>
      </c>
      <c r="I6" s="2">
        <f>(Table13[[#This Row],[Bruto tov vorige schijf]]-Table13[[#This Row],[Netto tov vorige schijf]])/MAX(Table13[[#This Row],[Bruto tov vorige schijf]],1)</f>
        <v>0.49021999999999988</v>
      </c>
    </row>
    <row r="7" spans="1:9" x14ac:dyDescent="0.25">
      <c r="A7" s="6">
        <v>98604</v>
      </c>
      <c r="B7" s="6">
        <f>LoonHeffing2020(Table13[[#This Row],[Belastbaar loon]])</f>
        <v>40485.258000000002</v>
      </c>
      <c r="C7" s="6">
        <f>AlgemeneHeffingsKorting2020(Table13[[#This Row],[Belastbaar loon]])</f>
        <v>0</v>
      </c>
      <c r="D7" s="6">
        <f>ArbeidsKorting2020(Table13[[#This Row],[Belastbaar loon]])</f>
        <v>0</v>
      </c>
      <c r="E7" s="6">
        <f>MIN(Table13[[#This Row],[Belastbaar loon]]-Table13[[#This Row],[Loonheffing]]+Table13[[#This Row],[Algemene Heffingskorting]]+Table13[[#This Row],[Arbeidskorting]],Table13[[#This Row],[Belastbaar loon]])</f>
        <v>58118.741999999998</v>
      </c>
      <c r="F7" s="2">
        <f>(Table13[[#This Row],[Belastbaar loon]]-Table13[[#This Row],[Netto loon]])/Table13[[#This Row],[Belastbaar loon]]</f>
        <v>0.41058433734939759</v>
      </c>
      <c r="G7" s="6">
        <f>Table13[[#This Row],[Belastbaar loon]]-A6</f>
        <v>30097</v>
      </c>
      <c r="H7" s="6">
        <f>Table13[[#This Row],[Netto loon]]-E6</f>
        <v>13393.275619999993</v>
      </c>
      <c r="I7" s="2">
        <f>(Table13[[#This Row],[Bruto tov vorige schijf]]-Table13[[#This Row],[Netto tov vorige schijf]])/MAX(Table13[[#This Row],[Bruto tov vorige schijf]],1)</f>
        <v>0.55499632455061987</v>
      </c>
    </row>
    <row r="8" spans="1:9" x14ac:dyDescent="0.25">
      <c r="A8" s="6">
        <v>100000</v>
      </c>
      <c r="B8" s="6">
        <f>LoonHeffing2020(Table13[[#This Row],[Belastbaar loon]])</f>
        <v>41176.277999999998</v>
      </c>
      <c r="C8" s="6">
        <f>AlgemeneHeffingsKorting2020(Table13[[#This Row],[Belastbaar loon]])</f>
        <v>0</v>
      </c>
      <c r="D8" s="6">
        <f>ArbeidsKorting2020(Table13[[#This Row],[Belastbaar loon]])</f>
        <v>0</v>
      </c>
      <c r="E8" s="6">
        <f>MIN(Table13[[#This Row],[Belastbaar loon]]-Table13[[#This Row],[Loonheffing]]+Table13[[#This Row],[Algemene Heffingskorting]]+Table13[[#This Row],[Arbeidskorting]],Table13[[#This Row],[Belastbaar loon]])</f>
        <v>58823.722000000002</v>
      </c>
      <c r="F8" s="2">
        <f>(Table13[[#This Row],[Belastbaar loon]]-Table13[[#This Row],[Netto loon]])/Table13[[#This Row],[Belastbaar loon]]</f>
        <v>0.41176277999999999</v>
      </c>
      <c r="G8" s="6">
        <f>Table13[[#This Row],[Belastbaar loon]]-A7</f>
        <v>1396</v>
      </c>
      <c r="H8" s="6">
        <f>Table13[[#This Row],[Netto loon]]-E7</f>
        <v>704.9800000000032</v>
      </c>
      <c r="I8" s="2">
        <f>(Table13[[#This Row],[Bruto tov vorige schijf]]-Table13[[#This Row],[Netto tov vorige schijf]])/MAX(Table13[[#This Row],[Bruto tov vorige schijf]],1)</f>
        <v>0.49499999999999772</v>
      </c>
    </row>
    <row r="9" spans="1:9" x14ac:dyDescent="0.25">
      <c r="A9" s="6">
        <v>150000</v>
      </c>
      <c r="B9" s="6">
        <f>LoonHeffing2020(Table13[[#This Row],[Belastbaar loon]])</f>
        <v>65926.278000000006</v>
      </c>
      <c r="C9" s="6">
        <f>AlgemeneHeffingsKorting2020(Table13[[#This Row],[Belastbaar loon]])</f>
        <v>0</v>
      </c>
      <c r="D9" s="6">
        <f>ArbeidsKorting2020(Table13[[#This Row],[Belastbaar loon]])</f>
        <v>0</v>
      </c>
      <c r="E9" s="6">
        <f>MIN(Table13[[#This Row],[Belastbaar loon]]-Table13[[#This Row],[Loonheffing]]+Table13[[#This Row],[Algemene Heffingskorting]]+Table13[[#This Row],[Arbeidskorting]],Table13[[#This Row],[Belastbaar loon]])</f>
        <v>84073.721999999994</v>
      </c>
      <c r="F9" s="2">
        <f>(Table13[[#This Row],[Belastbaar loon]]-Table13[[#This Row],[Netto loon]])/Table13[[#This Row],[Belastbaar loon]]</f>
        <v>0.43950852000000001</v>
      </c>
      <c r="G9" s="6">
        <f>Table13[[#This Row],[Belastbaar loon]]-A8</f>
        <v>50000</v>
      </c>
      <c r="H9" s="6">
        <f>Table13[[#This Row],[Netto loon]]-E8</f>
        <v>25249.999999999993</v>
      </c>
      <c r="I9" s="2">
        <f>(Table13[[#This Row],[Bruto tov vorige schijf]]-Table13[[#This Row],[Netto tov vorige schijf]])/MAX(Table13[[#This Row],[Bruto tov vorige schijf]],1)</f>
        <v>0.49500000000000016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A96A0-2635-4A85-87D6-3C8AC4617724}">
  <dimension ref="A1:C6"/>
  <sheetViews>
    <sheetView workbookViewId="0">
      <selection activeCell="C6" sqref="A1:C6"/>
    </sheetView>
  </sheetViews>
  <sheetFormatPr defaultRowHeight="15" x14ac:dyDescent="0.25"/>
  <cols>
    <col min="1" max="1" width="8" bestFit="1" customWidth="1"/>
    <col min="3" max="3" width="13.140625" customWidth="1"/>
  </cols>
  <sheetData>
    <row r="1" spans="1:3" x14ac:dyDescent="0.25">
      <c r="A1" t="s">
        <v>85</v>
      </c>
      <c r="B1" t="s">
        <v>86</v>
      </c>
      <c r="C1" t="s">
        <v>78</v>
      </c>
    </row>
    <row r="2" spans="1:3" x14ac:dyDescent="0.25">
      <c r="A2" s="6">
        <v>0</v>
      </c>
      <c r="B2" s="6">
        <v>19902</v>
      </c>
      <c r="C2" s="2">
        <v>0</v>
      </c>
    </row>
    <row r="3" spans="1:3" x14ac:dyDescent="0.25">
      <c r="A3" s="6">
        <v>19902</v>
      </c>
      <c r="B3" s="6">
        <v>20711</v>
      </c>
      <c r="C3" s="2">
        <v>0.4335</v>
      </c>
    </row>
    <row r="4" spans="1:3" x14ac:dyDescent="0.25">
      <c r="A4" s="6">
        <v>20711</v>
      </c>
      <c r="B4" s="6">
        <v>68507</v>
      </c>
      <c r="C4" s="2">
        <v>0.49020000000000002</v>
      </c>
    </row>
    <row r="5" spans="1:3" x14ac:dyDescent="0.25">
      <c r="A5" s="6">
        <v>68507</v>
      </c>
      <c r="B5" s="6">
        <v>98604</v>
      </c>
      <c r="C5" s="2">
        <v>0.55500000000000005</v>
      </c>
    </row>
    <row r="6" spans="1:3" x14ac:dyDescent="0.25">
      <c r="A6" s="6">
        <v>98604</v>
      </c>
      <c r="B6" s="6"/>
      <c r="C6" s="2">
        <v>0.495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LoondienstVsZZP</vt:lpstr>
      <vt:lpstr>Belastingschijven Compleet</vt:lpstr>
      <vt:lpstr>Belastingschijven Kort</vt:lpstr>
      <vt:lpstr>Belastingschijven Simpel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</dc:creator>
  <cp:lastModifiedBy>Rafal</cp:lastModifiedBy>
  <dcterms:created xsi:type="dcterms:W3CDTF">2020-06-25T07:21:16Z</dcterms:created>
  <dcterms:modified xsi:type="dcterms:W3CDTF">2020-06-29T07:16:51Z</dcterms:modified>
</cp:coreProperties>
</file>